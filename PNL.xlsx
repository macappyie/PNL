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PNL/"/>
    </mc:Choice>
  </mc:AlternateContent>
  <xr:revisionPtr revIDLastSave="0" documentId="13_ncr:1_{A9BEEEF0-4AC9-E747-A4A5-248482AD7102}" xr6:coauthVersionLast="36" xr6:coauthVersionMax="36" xr10:uidLastSave="{00000000-0000-0000-0000-000000000000}"/>
  <bookViews>
    <workbookView xWindow="0" yWindow="500" windowWidth="28800" windowHeight="16020" xr2:uid="{06C2047E-A20D-7B41-A100-9F165F6715E9}"/>
  </bookViews>
  <sheets>
    <sheet name="Sheet1" sheetId="1" r:id="rId1"/>
    <sheet name="KITE" sheetId="2" r:id="rId2"/>
    <sheet name="SHOONYA" sheetId="3" r:id="rId3"/>
  </sheets>
  <definedNames>
    <definedName name="_xlnm._FilterDatabase" localSheetId="1" hidden="1">KITE!$A$1:$G$1044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N9" i="1"/>
  <c r="N8" i="1"/>
  <c r="N7" i="1"/>
  <c r="N6" i="1"/>
  <c r="M10" i="1"/>
  <c r="M9" i="1"/>
  <c r="M8" i="1"/>
  <c r="M7" i="1"/>
  <c r="M6" i="1"/>
  <c r="L6" i="1"/>
  <c r="K6" i="1"/>
  <c r="H1" i="1"/>
  <c r="I6" i="1"/>
  <c r="J6" i="1" s="1"/>
  <c r="J1" i="1" s="1"/>
  <c r="H6" i="1"/>
  <c r="J5" i="1"/>
  <c r="I5" i="1"/>
  <c r="H5" i="1"/>
  <c r="I4" i="1"/>
  <c r="J4" i="1" s="1"/>
  <c r="H4" i="1"/>
  <c r="J3" i="1"/>
  <c r="I3" i="1"/>
  <c r="H3" i="1"/>
  <c r="J2" i="1"/>
  <c r="I2" i="1"/>
  <c r="H2" i="1"/>
  <c r="I1" i="1" l="1"/>
</calcChain>
</file>

<file path=xl/sharedStrings.xml><?xml version="1.0" encoding="utf-8"?>
<sst xmlns="http://schemas.openxmlformats.org/spreadsheetml/2006/main" count="2341" uniqueCount="1164">
  <si>
    <t>01/28/21</t>
  </si>
  <si>
    <t>02/26/21</t>
  </si>
  <si>
    <t>03/31/21</t>
  </si>
  <si>
    <t>04/30/21</t>
  </si>
  <si>
    <t>05/27/21</t>
  </si>
  <si>
    <t>06/30/21</t>
  </si>
  <si>
    <t>07/29/21</t>
  </si>
  <si>
    <t>08/27/21</t>
  </si>
  <si>
    <t>09/30/21</t>
  </si>
  <si>
    <t>10/29/21</t>
  </si>
  <si>
    <t>11/30/21</t>
  </si>
  <si>
    <t>12/31/21</t>
  </si>
  <si>
    <t>01/31/22</t>
  </si>
  <si>
    <t>02/28/22</t>
  </si>
  <si>
    <t>03/17/22</t>
  </si>
  <si>
    <t>04/29/22</t>
  </si>
  <si>
    <t>05/31/22</t>
  </si>
  <si>
    <t>06/30/22</t>
  </si>
  <si>
    <t>07/29/22</t>
  </si>
  <si>
    <t>08/29/22</t>
  </si>
  <si>
    <t>10/28/22</t>
  </si>
  <si>
    <t>11/30/22</t>
  </si>
  <si>
    <t>12/30/22</t>
  </si>
  <si>
    <t>01/31/23</t>
  </si>
  <si>
    <t>06/22/23</t>
  </si>
  <si>
    <t>06/23/23</t>
  </si>
  <si>
    <t>08/14/23</t>
  </si>
  <si>
    <t>08/16/23</t>
  </si>
  <si>
    <t>08/17/23</t>
  </si>
  <si>
    <t>08/18/23</t>
  </si>
  <si>
    <t>08/21/23</t>
  </si>
  <si>
    <t>08/22/23</t>
  </si>
  <si>
    <t>08/23/23</t>
  </si>
  <si>
    <t>08/24/23</t>
  </si>
  <si>
    <t>08/25/23</t>
  </si>
  <si>
    <t>08/28/23</t>
  </si>
  <si>
    <t>08/29/23</t>
  </si>
  <si>
    <t>08/30/23</t>
  </si>
  <si>
    <t>08/31/23</t>
  </si>
  <si>
    <t>11/16/23</t>
  </si>
  <si>
    <t>11/17/23</t>
  </si>
  <si>
    <t>11/20/23</t>
  </si>
  <si>
    <t>11/21/23</t>
  </si>
  <si>
    <t>11/22/23</t>
  </si>
  <si>
    <t>11/23/23</t>
  </si>
  <si>
    <t>11/24/23</t>
  </si>
  <si>
    <t>11/28/23</t>
  </si>
  <si>
    <t>12/15/23</t>
  </si>
  <si>
    <t>12/18/23</t>
  </si>
  <si>
    <t>12/19/23</t>
  </si>
  <si>
    <t>12/20/23</t>
  </si>
  <si>
    <t>12/21/23</t>
  </si>
  <si>
    <t>12/22/23</t>
  </si>
  <si>
    <t>12/26/23</t>
  </si>
  <si>
    <t>12/27/23</t>
  </si>
  <si>
    <t>12/28/23</t>
  </si>
  <si>
    <t>01/16/24</t>
  </si>
  <si>
    <t>01/17/24</t>
  </si>
  <si>
    <t>01/18/24</t>
  </si>
  <si>
    <t>01/19/24</t>
  </si>
  <si>
    <t>01/20/24</t>
  </si>
  <si>
    <t>01/23/24</t>
  </si>
  <si>
    <t>1/24/24</t>
  </si>
  <si>
    <t>02/13/24</t>
  </si>
  <si>
    <t>02/14/24</t>
  </si>
  <si>
    <t>02/15/24</t>
  </si>
  <si>
    <t>02/16/24</t>
  </si>
  <si>
    <t>02/19/24</t>
  </si>
  <si>
    <t>2/20/24</t>
  </si>
  <si>
    <t>2/21/24</t>
  </si>
  <si>
    <t>03/13/24</t>
  </si>
  <si>
    <t>03/14/24</t>
  </si>
  <si>
    <t>03/15/24</t>
  </si>
  <si>
    <t>03/18/24</t>
  </si>
  <si>
    <t>03/19/24</t>
  </si>
  <si>
    <t>03/20/24</t>
  </si>
  <si>
    <t>03/21/24</t>
  </si>
  <si>
    <t>03/22/24</t>
  </si>
  <si>
    <t>03/26/24</t>
  </si>
  <si>
    <t>04/19/24</t>
  </si>
  <si>
    <t>04/22/24</t>
  </si>
  <si>
    <t>04/23/24</t>
  </si>
  <si>
    <t>04/24/24</t>
  </si>
  <si>
    <t>04/25/24</t>
  </si>
  <si>
    <t>04/26/24</t>
  </si>
  <si>
    <t>04/29/24</t>
  </si>
  <si>
    <t>04/30/24</t>
  </si>
  <si>
    <t>05/22/24</t>
  </si>
  <si>
    <t>05/24/24</t>
  </si>
  <si>
    <t>05/27/24</t>
  </si>
  <si>
    <t>05/28/24</t>
  </si>
  <si>
    <t>05/29/24</t>
  </si>
  <si>
    <t>05/30/24</t>
  </si>
  <si>
    <t>06/18/24</t>
  </si>
  <si>
    <t>06/19/24</t>
  </si>
  <si>
    <t>06/20/24</t>
  </si>
  <si>
    <t>06/21/24</t>
  </si>
  <si>
    <t>06/24/24</t>
  </si>
  <si>
    <t>06/25/24</t>
  </si>
  <si>
    <t>06/26/24</t>
  </si>
  <si>
    <t>06/27/24</t>
  </si>
  <si>
    <t>06/28/24</t>
  </si>
  <si>
    <t>09/30/24</t>
  </si>
  <si>
    <t>11/29/24</t>
  </si>
  <si>
    <t>01/20/25</t>
  </si>
  <si>
    <t>01/21/25</t>
  </si>
  <si>
    <t>01/22/25</t>
  </si>
  <si>
    <t>Debit</t>
  </si>
  <si>
    <t>Credit</t>
  </si>
  <si>
    <t xml:space="preserve">Txn Date	</t>
  </si>
  <si>
    <t>Particulars</t>
  </si>
  <si>
    <t>Posting Date</t>
  </si>
  <si>
    <t>Net Balance</t>
  </si>
  <si>
    <t>2020-12-09</t>
  </si>
  <si>
    <t>Being payment gateway charges debited for ZQ0515</t>
  </si>
  <si>
    <t>Net settlement  for  NSE-Equity with settlement number: 2020244</t>
  </si>
  <si>
    <t>2020-12-18</t>
  </si>
  <si>
    <t>Net settlement  for  NSE-Equity with settlement number: 2020250</t>
  </si>
  <si>
    <t>2020-12-29</t>
  </si>
  <si>
    <t>DP Charges for sale of RBLBANK on 2020-12-29</t>
  </si>
  <si>
    <t>Net settlement  for  NSE-Equity with settlement number: 2021002</t>
  </si>
  <si>
    <t>2021-01-04</t>
  </si>
  <si>
    <t>2021-01-05</t>
  </si>
  <si>
    <t>Net settlement  for  NSE-Equity with settlement number: 2021003</t>
  </si>
  <si>
    <t>2021-01-06</t>
  </si>
  <si>
    <t>Net settlement  for  NSE-Equity with settlement number: 2021004</t>
  </si>
  <si>
    <t>Net obligation for NSE Equity F&amp;O</t>
  </si>
  <si>
    <t>AMC for Demat Account for 28-09-2020 to 28-12-2020</t>
  </si>
  <si>
    <t>2021-01-11</t>
  </si>
  <si>
    <t>DP Charges for sale of TRIDENT on 2021-01-12</t>
  </si>
  <si>
    <t>2021-01-12</t>
  </si>
  <si>
    <t>Net settlement  for  NSE-Equity with settlement number: 2021008</t>
  </si>
  <si>
    <t>DP Charges for sale of ASHOKLEY on 2021-01-12</t>
  </si>
  <si>
    <t>DP Charges for sale of CANBK on 2021-01-12</t>
  </si>
  <si>
    <t>DP Charges for sale of UJJIVANSFB on 2021-01-12</t>
  </si>
  <si>
    <t>DP Charges for sale of TATASTLBSL on 2021-01-12</t>
  </si>
  <si>
    <t>DP Charges for sale of BANKBARODA on 2021-01-13</t>
  </si>
  <si>
    <t>2021-01-13</t>
  </si>
  <si>
    <t>DP Charges for sale of SJVN on 2021-01-13</t>
  </si>
  <si>
    <t>DP Charges for sale of HOCL on 2021-01-13</t>
  </si>
  <si>
    <t>DP Charges for sale of PFC on 2021-01-13</t>
  </si>
  <si>
    <t>DP Charges for sale of ONGC on 2021-01-13</t>
  </si>
  <si>
    <t>DP Charges for sale of BHEL on 2021-01-13</t>
  </si>
  <si>
    <t>DP Charges for sale of OIL on 2021-01-13</t>
  </si>
  <si>
    <t>DP Charges for sale of STARCEMENT on 2021-01-13</t>
  </si>
  <si>
    <t>DP Charges for sale of NLCINDIA on 2021-01-13</t>
  </si>
  <si>
    <t>DP Charges for sale of NHPC on 2021-01-13</t>
  </si>
  <si>
    <t>DP Charges for sale of NTPC on 2021-01-13</t>
  </si>
  <si>
    <t>DP Charges for sale of PTC on 2021-01-13</t>
  </si>
  <si>
    <t>Net settlement  for  NSE-Equity with settlement number: 2021009</t>
  </si>
  <si>
    <t>2021-01-18</t>
  </si>
  <si>
    <t>2021-01-20</t>
  </si>
  <si>
    <t>2021-01-25</t>
  </si>
  <si>
    <t>Net settlement  for  NSE-Equity with settlement number: 2021017</t>
  </si>
  <si>
    <t>2021-01-27</t>
  </si>
  <si>
    <t>2021-01-28</t>
  </si>
  <si>
    <t>Net settlement  for  NSE-Equity with settlement number: 2021019</t>
  </si>
  <si>
    <t>Net settlement  for  NSE-Equity with settlement number: 2021021</t>
  </si>
  <si>
    <t>2021-02-01</t>
  </si>
  <si>
    <t>DP Charges for sale of CYIENT on 2021-02-01</t>
  </si>
  <si>
    <t>2021-02-02</t>
  </si>
  <si>
    <t>2021-02-03</t>
  </si>
  <si>
    <t>Net settlement  for  NSE-Equity with settlement number: 2021023</t>
  </si>
  <si>
    <t>2021-02-04</t>
  </si>
  <si>
    <t>2021-02-05</t>
  </si>
  <si>
    <t>Net settlement  for  NSE-Equity with settlement number: 2021025</t>
  </si>
  <si>
    <t>2021-02-08</t>
  </si>
  <si>
    <t>2021-02-09</t>
  </si>
  <si>
    <t>Net settlement  for  NSE-Equity with settlement number: 2021028</t>
  </si>
  <si>
    <t>2021-02-10</t>
  </si>
  <si>
    <t>DP Charges for sale of GAIL on 2021-02-18</t>
  </si>
  <si>
    <t>2021-02-18</t>
  </si>
  <si>
    <t>DP Charges for sale of ZENSARTECH on 2021-02-18</t>
  </si>
  <si>
    <t>DP Charges for sale of COALINDIA on 2021-02-18</t>
  </si>
  <si>
    <t>Net settlement  for  NSE-Equity with settlement number: 2021034</t>
  </si>
  <si>
    <t>2021-02-22</t>
  </si>
  <si>
    <t>2021-02-23</t>
  </si>
  <si>
    <t>Net settlement  for  NSE-Equity with settlement number: 2021037</t>
  </si>
  <si>
    <t>2021-02-24</t>
  </si>
  <si>
    <t>2021-02-25</t>
  </si>
  <si>
    <t>2021-02-26</t>
  </si>
  <si>
    <t>2021-03-01</t>
  </si>
  <si>
    <t>2021-03-02</t>
  </si>
  <si>
    <t>Net settlement  for  NSE-Equity with settlement number: 2021042</t>
  </si>
  <si>
    <t>DP Charges for sale of ITC on 2021-03-02</t>
  </si>
  <si>
    <t>DP Charges for sale of IOC on 2021-03-02</t>
  </si>
  <si>
    <t>DP Charges for sale of FRETAIL on 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</si>
  <si>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</si>
  <si>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</si>
  <si>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</si>
  <si>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</si>
  <si>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</si>
  <si>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</si>
  <si>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</si>
  <si>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</si>
  <si>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Net settlement  for  NSE-Equity with settlement number: 2021050</t>
  </si>
  <si>
    <t>2021-03-16</t>
  </si>
  <si>
    <t>2021-03-17</t>
  </si>
  <si>
    <t>DP Charges for sale of ASALCBR on 2021-03-18</t>
  </si>
  <si>
    <t>2021-03-18</t>
  </si>
  <si>
    <t>Net settlement  for  NSE-Equity with settlement number: 2021053</t>
  </si>
  <si>
    <t>Net settlement  for  NSE-Equity with settlement number: 2021054</t>
  </si>
  <si>
    <t>2021-03-19</t>
  </si>
  <si>
    <t>Call and Trade charges(Auto Square Off) for 2021-03-22</t>
  </si>
  <si>
    <t>2021-03-22</t>
  </si>
  <si>
    <t>Net settlement  for  NSE-Equity with settlement number: 2021055</t>
  </si>
  <si>
    <t>DP Charges for sale of KIRLOSBROS on 2021-03-23</t>
  </si>
  <si>
    <t>2021-03-23</t>
  </si>
  <si>
    <t>Net settlement  for  NSE-Equity with settlement number: 2021056</t>
  </si>
  <si>
    <t>Net settlement  for  NSE-Equity with settlement number: 2021057</t>
  </si>
  <si>
    <t>2021-03-24</t>
  </si>
  <si>
    <t>2021-03-26</t>
  </si>
  <si>
    <t>2021-03-25</t>
  </si>
  <si>
    <t>2021-03-30</t>
  </si>
  <si>
    <t>Net settlement  for  NSE-Equity with settlement number: 2021060</t>
  </si>
  <si>
    <t>2021-03-31</t>
  </si>
  <si>
    <t>Net settlement  for  NSE-Equity with settlement number: 2021061</t>
  </si>
  <si>
    <t>DP Charges for sale of SAIL on 2021-04-01</t>
  </si>
  <si>
    <t>2021-04-01</t>
  </si>
  <si>
    <t>DP Charges for sale of KANORICHEM on 2021-04-01</t>
  </si>
  <si>
    <t>DP Charges for sale of GAIL on 2021-04-01</t>
  </si>
  <si>
    <t>DP Charges for sale of ASHOKLEY on 2021-04-01</t>
  </si>
  <si>
    <t>DP Charges for sale of NMDC on 2021-04-01</t>
  </si>
  <si>
    <t>DP Charges for sale of CANBK on 2021-04-01</t>
  </si>
  <si>
    <t>Net settlement  for  NSE-Equity with settlement number: 2021062</t>
  </si>
  <si>
    <t>2021-04-05</t>
  </si>
  <si>
    <t>2021-04-06</t>
  </si>
  <si>
    <t>Net settlement  for  NSE-Equity with settlement number: 2021064</t>
  </si>
  <si>
    <t>DP Charges for sale of MOTILALOFS on 2021-04-07</t>
  </si>
  <si>
    <t>2021-04-07</t>
  </si>
  <si>
    <t>DP Charges for sale of ASAHISONG on 2021-04-07</t>
  </si>
  <si>
    <t>Net settlement  for  NSE-Equity with settlement number: 2021065</t>
  </si>
  <si>
    <t>2021-04-08</t>
  </si>
  <si>
    <t>2021-04-09</t>
  </si>
  <si>
    <t>Net settlement  for  NSE-Equity with settlement number: 2021067</t>
  </si>
  <si>
    <t>2021-04-12</t>
  </si>
  <si>
    <t>Net settlement  for  NSE-Equity with settlement number: 2021068</t>
  </si>
  <si>
    <t>2021-04-13</t>
  </si>
  <si>
    <t>2021-04-15</t>
  </si>
  <si>
    <t>2021-04-16</t>
  </si>
  <si>
    <t>DP Charges for sale of MINDAIND on 2021-04-19</t>
  </si>
  <si>
    <t>2021-04-19</t>
  </si>
  <si>
    <t>DP Charges for sale of SHRIPISTON on 2021-04-19</t>
  </si>
  <si>
    <t>Net settlement  for  NSE-Equity with settlement number: 2021072</t>
  </si>
  <si>
    <t>2021-04-20</t>
  </si>
  <si>
    <t>Net settlement  for  NSE-Equity with settlement number: 2021073</t>
  </si>
  <si>
    <t>Net settlement  for  NSE-Equity with settlement number: 2021074</t>
  </si>
  <si>
    <t>2021-04-22</t>
  </si>
  <si>
    <t>2021-04-23</t>
  </si>
  <si>
    <t>Net settlement  for  NSE-Equity with settlement number: 2021075</t>
  </si>
  <si>
    <t>DP Charges for sale of SAIL on 2021-04-26</t>
  </si>
  <si>
    <t>2021-04-26</t>
  </si>
  <si>
    <t>DP Charges for sale of HINDZINC on 2021-04-26</t>
  </si>
  <si>
    <t>DP Charges for sale of GALLANTT on 2021-04-26</t>
  </si>
  <si>
    <t>DP Charges for sale of GODREJAGRO on 2021-04-26</t>
  </si>
  <si>
    <t>Net settlement  for  NSE-Equity with settlement number: 2021076</t>
  </si>
  <si>
    <t>2021-04-27</t>
  </si>
  <si>
    <t>2021-04-28</t>
  </si>
  <si>
    <t>Net settlement  for  NSE-Equity with settlement number: 2021078</t>
  </si>
  <si>
    <t>2021-04-29</t>
  </si>
  <si>
    <t>Net settlement  for  NSE-Equity with settlement number: 2021079</t>
  </si>
  <si>
    <t>DP Charges for sale of OIL on 2021-04-30</t>
  </si>
  <si>
    <t>2021-04-30</t>
  </si>
  <si>
    <t>DP Charges for sale of AMJLAND on 2021-04-30</t>
  </si>
  <si>
    <t>DP Charges for sale of ORIENTABRA on 2021-04-30</t>
  </si>
  <si>
    <t>Net settlement  for  NSE-Equity with settlement number: 2021080</t>
  </si>
  <si>
    <t>DP Charges for sale of FEDERALBNK on 2021-05-03</t>
  </si>
  <si>
    <t>2021-05-03</t>
  </si>
  <si>
    <t>DP Charges for sale of TATAPOWER on 2021-05-03</t>
  </si>
  <si>
    <t>DP Charges for sale of ONGC on 2021-05-03</t>
  </si>
  <si>
    <t>DP Charges for sale of BHEL on 2021-05-03</t>
  </si>
  <si>
    <t>DP Charges for sale of BEL on 2021-05-03</t>
  </si>
  <si>
    <t>DP Charges for sale of DATAMATICS on 2021-05-03</t>
  </si>
  <si>
    <t>DP Charges for sale of CUB on 2021-05-03</t>
  </si>
  <si>
    <t>DP Charges for sale of SEYAIND on 2021-05-03</t>
  </si>
  <si>
    <t>DP Charges for sale of NTPC on 2021-05-03</t>
  </si>
  <si>
    <t>DP Charges for sale of JYOTHYLAB on 2021-05-03</t>
  </si>
  <si>
    <t>Net settlement  for  NSE-Equity with settlement number: 2021081</t>
  </si>
  <si>
    <t>DP Charges for sale of BANKBARODA on 2021-05-04</t>
  </si>
  <si>
    <t>2021-05-04</t>
  </si>
  <si>
    <t>Net settlement  for  NSE-Equity with settlement number: 2021082</t>
  </si>
  <si>
    <t>2021-05-05</t>
  </si>
  <si>
    <t>DP Charges for sale of RECLTD on 2021-05-05</t>
  </si>
  <si>
    <t>DP Charges for sale of IDFCFIRSTB on 2021-05-05</t>
  </si>
  <si>
    <t>DP Charges for sale of ITC on 2021-05-05</t>
  </si>
  <si>
    <t>DP Charges for sale of PNB on 2021-05-05</t>
  </si>
  <si>
    <t>DP Charges for sale of PFC on 2021-05-05</t>
  </si>
  <si>
    <t>DP Charges for sale of IOC on 2021-05-05</t>
  </si>
  <si>
    <t>DP Charges for sale of SKIPPER on 2021-05-05</t>
  </si>
  <si>
    <t>DP Charges for sale of COALINDIA on 2021-05-05</t>
  </si>
  <si>
    <t>DP Charges for sale of L&amp;TFH on 2021-05-05</t>
  </si>
  <si>
    <t>DP Charges for sale of GMRINFRA on 2021-05-05</t>
  </si>
  <si>
    <t>DP Charges for sale of IRCON on 2021-05-05</t>
  </si>
  <si>
    <t>Net settlement  for  NSE-Equity with settlement number: 2021083</t>
  </si>
  <si>
    <t>2021-05-06</t>
  </si>
  <si>
    <t>Net settlement  for  NSE-Equity with settlement number: 2021084</t>
  </si>
  <si>
    <t>2021-05-07</t>
  </si>
  <si>
    <t>Net settlement  for  NSE-Equity with settlement number: 2021085</t>
  </si>
  <si>
    <t>2021-05-10</t>
  </si>
  <si>
    <t>2021-05-11</t>
  </si>
  <si>
    <t>Net settlement  for  NSE-Equity with settlement number: 2021087</t>
  </si>
  <si>
    <t>Net settlement  for  NSE-Equity with settlement number: 2021088</t>
  </si>
  <si>
    <t>2021-05-12</t>
  </si>
  <si>
    <t>Net settlement  for  NSE-Equity with settlement number: 2021089</t>
  </si>
  <si>
    <t>2021-05-14</t>
  </si>
  <si>
    <t>Net settlement  for  NSE-Equity with settlement number: 2021090</t>
  </si>
  <si>
    <t>2021-05-17</t>
  </si>
  <si>
    <t>Net settlement  for  NSE-Equity with settlement number: 2021091</t>
  </si>
  <si>
    <t>2021-05-18</t>
  </si>
  <si>
    <t>Net settlement  for  NSE-Equity with settlement number: 2021092</t>
  </si>
  <si>
    <t>2021-05-19</t>
  </si>
  <si>
    <t>SEBI turnover fees for 01/04/2021 to 04/05/2021</t>
  </si>
  <si>
    <t>2021-05-26</t>
  </si>
  <si>
    <t>2021-05-27</t>
  </si>
  <si>
    <t>DP Charges for sale of INSPIRISYS on 2021-05-28</t>
  </si>
  <si>
    <t>2021-05-28</t>
  </si>
  <si>
    <t>Net settlement  for  NSE-Equity with settlement number: 2021099</t>
  </si>
  <si>
    <t>2021-05-30</t>
  </si>
  <si>
    <t>2021-05-31</t>
  </si>
  <si>
    <t>2021-06-01</t>
  </si>
  <si>
    <t>2021-06-02</t>
  </si>
  <si>
    <t>2021-06-03</t>
  </si>
  <si>
    <t>DP Charges for sale of BIRLAMONEY on 2021-06-04</t>
  </si>
  <si>
    <t>2021-06-04</t>
  </si>
  <si>
    <t>Net settlement  for  NSE-Equity with settlement number: 2021104</t>
  </si>
  <si>
    <t>2021-06-07</t>
  </si>
  <si>
    <t>Net settlement  for  NSE-Equity with settlement number: 2021105</t>
  </si>
  <si>
    <t>DP Charges for Sale of ACCURACY on 07/06/2021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</si>
  <si>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</si>
  <si>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</si>
  <si>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</si>
  <si>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</si>
  <si>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</si>
  <si>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</si>
  <si>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</si>
  <si>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</si>
  <si>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</si>
  <si>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</si>
  <si>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</si>
  <si>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</si>
  <si>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</si>
  <si>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</si>
  <si>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</si>
  <si>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</si>
  <si>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</si>
  <si>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Net obligation for Equity F&amp;O</t>
  </si>
  <si>
    <t>2021-07-01</t>
  </si>
  <si>
    <t>2021-07-02</t>
  </si>
  <si>
    <t>2021-07-05</t>
  </si>
  <si>
    <t>Net settlement  for  Equity with settlement number: 2021125</t>
  </si>
  <si>
    <t>2021-07-06</t>
  </si>
  <si>
    <t>2021-07-07</t>
  </si>
  <si>
    <t>2021-07-08</t>
  </si>
  <si>
    <t>2021-07-09</t>
  </si>
  <si>
    <t>2021-07-12</t>
  </si>
  <si>
    <t>Net settlement for Equity with settlement number: 2021130</t>
  </si>
  <si>
    <t>Net settlement for Equity with settlement number: 2021131</t>
  </si>
  <si>
    <t>2021-07-13</t>
  </si>
  <si>
    <t>2021-07-14</t>
  </si>
  <si>
    <t>DP Charges for Sale of SMCGLOBAL on 13/07/2021</t>
  </si>
  <si>
    <t>Net settlement for Equity with settlement number: 2021132</t>
  </si>
  <si>
    <t>Net settlement for Equity with settlement number: 2021133</t>
  </si>
  <si>
    <t>2021-07-15</t>
  </si>
  <si>
    <t>2021-07-23</t>
  </si>
  <si>
    <t>DP Charges for Sale of GAYAPROJ on 23/07/2021</t>
  </si>
  <si>
    <t>Net settlement for Equity with settlement number: 2021138</t>
  </si>
  <si>
    <t>2021-07-26</t>
  </si>
  <si>
    <t>2021-07-28</t>
  </si>
  <si>
    <t>Net settlement for Equity with settlement number: 2021141</t>
  </si>
  <si>
    <t>2021-07-29</t>
  </si>
  <si>
    <t>2021-08-02</t>
  </si>
  <si>
    <t>2021-08-03</t>
  </si>
  <si>
    <t>Net settlement for Equity with settlement number: 2021145</t>
  </si>
  <si>
    <t>Net settlement for Equity with settlement number: 2021146</t>
  </si>
  <si>
    <t>2021-08-04</t>
  </si>
  <si>
    <t>DP Charges for Sale of TOUCHWOOD on 04/08/2021</t>
  </si>
  <si>
    <t>DP Charges for Sale of BAFNAPH on 04/08/2021</t>
  </si>
  <si>
    <t>2021-08-05</t>
  </si>
  <si>
    <t>DP Charges for Sale of JKTYRE on 04/08/2021</t>
  </si>
  <si>
    <t>DP Charges for Sale of MAHESHWARI on 04/08/2021</t>
  </si>
  <si>
    <t>2021-08-06</t>
  </si>
  <si>
    <t>Net settlement for Equity with settlement number: 2021148</t>
  </si>
  <si>
    <t>DP Charges for Sale of SHREYANIND on 06/08/2021</t>
  </si>
  <si>
    <t>2021-08-09</t>
  </si>
  <si>
    <t>2021-08-10</t>
  </si>
  <si>
    <t>Net settlement for Equity with settlement number: 2021151</t>
  </si>
  <si>
    <t>2021-08-11</t>
  </si>
  <si>
    <t>DP Charges for Sale of ORIENTPPR on 11/08/2021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</si>
  <si>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</si>
  <si>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</si>
  <si>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</si>
  <si>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</si>
  <si>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</si>
  <si>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</si>
  <si>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</si>
  <si>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</si>
  <si>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</si>
  <si>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</si>
  <si>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</si>
  <si>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Net settlement for Equity with settlement number: 2021166</t>
  </si>
  <si>
    <t>2021-09-02</t>
  </si>
  <si>
    <t>2021-09-07</t>
  </si>
  <si>
    <t>2021-09-08</t>
  </si>
  <si>
    <t>2021-09-09</t>
  </si>
  <si>
    <t>2021-09-13</t>
  </si>
  <si>
    <t>2021-09-14</t>
  </si>
  <si>
    <t>AMC for Demat Account for 29-12-2020 to 29-03-2021</t>
  </si>
  <si>
    <t>2021-09-15</t>
  </si>
  <si>
    <t>DP Charges for Sale of IDBI on 16/09/2021</t>
  </si>
  <si>
    <t>2021-09-16</t>
  </si>
  <si>
    <t>Net settlement for Equity with settlement number: 2021175</t>
  </si>
  <si>
    <t>2021-09-17</t>
  </si>
  <si>
    <t>2021-09-20</t>
  </si>
  <si>
    <t>2021-09-21</t>
  </si>
  <si>
    <t>2021-09-22</t>
  </si>
  <si>
    <t>2021-09-23</t>
  </si>
  <si>
    <t>2021-09-24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</si>
  <si>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</si>
  <si>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</si>
  <si>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</si>
  <si>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</si>
  <si>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</si>
  <si>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</si>
  <si>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</si>
  <si>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</si>
  <si>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</si>
  <si>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</si>
  <si>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</si>
  <si>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</si>
  <si>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Net settlement for Equity with settlement number: 2021194</t>
  </si>
  <si>
    <t>2021-10-14</t>
  </si>
  <si>
    <t>2021-10-18</t>
  </si>
  <si>
    <t>Net settlement for Equity with settlement number: 2021196</t>
  </si>
  <si>
    <t>2021-10-19</t>
  </si>
  <si>
    <t>2021-10-20</t>
  </si>
  <si>
    <t>2021-10-21</t>
  </si>
  <si>
    <t>2021-10-22</t>
  </si>
  <si>
    <t>2021-10-25</t>
  </si>
  <si>
    <t>DP Charges for Sale of THEINVEST on 26/10/2021</t>
  </si>
  <si>
    <t>2021-10-26</t>
  </si>
  <si>
    <t>Net settlement for Equity with settlement number: 2021202</t>
  </si>
  <si>
    <t>2021-10-27</t>
  </si>
  <si>
    <t>2021-10-28</t>
  </si>
  <si>
    <t>AMC for Demat Account for 2021-03-30 to 2021-06-27</t>
  </si>
  <si>
    <t>Call and Trade charges(Auto Square Off) for 2021-10-29</t>
  </si>
  <si>
    <t>2021-10-29</t>
  </si>
  <si>
    <t>2021-11-01</t>
  </si>
  <si>
    <t>2021-11-02</t>
  </si>
  <si>
    <t>Net settlement for Equity with settlement number: 2021208</t>
  </si>
  <si>
    <t>2021-11-03</t>
  </si>
  <si>
    <t>Net settlement for Equity with settlement number: 2021209</t>
  </si>
  <si>
    <t>2021-11-04</t>
  </si>
  <si>
    <t>2021-11-10</t>
  </si>
  <si>
    <t>2021-11-11</t>
  </si>
  <si>
    <t>2021-11-15</t>
  </si>
  <si>
    <t>2021-11-16</t>
  </si>
  <si>
    <t>2021-11-17</t>
  </si>
  <si>
    <t>2021-11-18</t>
  </si>
  <si>
    <t>2021-11-22</t>
  </si>
  <si>
    <t>DP Charges for Sale of PAYTM on 23/11/2021</t>
  </si>
  <si>
    <t>2021-11-23</t>
  </si>
  <si>
    <t>Net settlement for Equity with settlement number: 2021220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</si>
  <si>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</si>
  <si>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</si>
  <si>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</si>
  <si>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</si>
  <si>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</si>
  <si>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</si>
  <si>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</si>
  <si>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</si>
  <si>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</si>
  <si>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</si>
  <si>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</si>
  <si>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</si>
  <si>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</si>
  <si>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2021-12-16</t>
  </si>
  <si>
    <t>2021-12-19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</si>
  <si>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</si>
  <si>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</si>
  <si>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</si>
  <si>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</si>
  <si>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</si>
  <si>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</si>
  <si>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</si>
  <si>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</si>
  <si>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</si>
  <si>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</si>
  <si>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</si>
  <si>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</si>
  <si>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</si>
  <si>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</si>
  <si>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</si>
  <si>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</si>
  <si>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</si>
  <si>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</si>
  <si>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</si>
  <si>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</si>
  <si>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</si>
  <si>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</si>
  <si>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</si>
  <si>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</si>
  <si>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</si>
  <si>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</si>
  <si>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</si>
  <si>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</si>
  <si>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</si>
  <si>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</si>
  <si>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</si>
  <si>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</si>
  <si>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</si>
  <si>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</si>
  <si>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</si>
  <si>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</si>
  <si>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</si>
  <si>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</si>
  <si>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</si>
  <si>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</si>
  <si>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</si>
  <si>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</si>
  <si>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</si>
  <si>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</si>
  <si>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</si>
  <si>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</si>
  <si>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</si>
  <si>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</si>
  <si>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</si>
  <si>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</si>
  <si>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</si>
  <si>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</si>
  <si>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Net settlement for Equity with settlement number: 2022044</t>
  </si>
  <si>
    <t>Securities Transaction Tax  on 2022-03-07 for 2022044</t>
  </si>
  <si>
    <t>2022-03-08</t>
  </si>
  <si>
    <t>Net settlement for Equity with settlement number: 2022045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</si>
  <si>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</si>
  <si>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</si>
  <si>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</si>
  <si>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</si>
  <si>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</si>
  <si>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</si>
  <si>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</si>
  <si>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AMC for Demat Account for 28-06-2021 to 26-09-2021</t>
  </si>
  <si>
    <t>2022-03-22</t>
  </si>
  <si>
    <t>2022-04-04</t>
  </si>
  <si>
    <t>2022-04-05</t>
  </si>
  <si>
    <t>2022-04-06</t>
  </si>
  <si>
    <t>2022-04-07</t>
  </si>
  <si>
    <t>2022-04-08</t>
  </si>
  <si>
    <t>Net settlement for Equity with settlement number: 2022067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</si>
  <si>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</si>
  <si>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</si>
  <si>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</si>
  <si>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</si>
  <si>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</si>
  <si>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</si>
  <si>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</si>
  <si>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</si>
  <si>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</si>
  <si>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</si>
  <si>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</si>
  <si>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</si>
  <si>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</si>
  <si>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</si>
  <si>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</si>
  <si>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</si>
  <si>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</si>
  <si>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</si>
  <si>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</si>
  <si>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</si>
  <si>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</si>
  <si>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</si>
  <si>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</si>
  <si>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</si>
  <si>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</si>
  <si>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</si>
  <si>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</si>
  <si>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</si>
  <si>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</si>
  <si>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</si>
  <si>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</si>
  <si>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</si>
  <si>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</si>
  <si>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</si>
  <si>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</si>
  <si>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</si>
  <si>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</si>
  <si>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</si>
  <si>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</si>
  <si>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</si>
  <si>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</si>
  <si>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</si>
  <si>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</si>
  <si>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</si>
  <si>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</si>
  <si>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</si>
  <si>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</si>
  <si>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</si>
  <si>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</si>
  <si>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2022-06-23</t>
  </si>
  <si>
    <t>2022-06-24</t>
  </si>
  <si>
    <t>2022-06-27</t>
  </si>
  <si>
    <t>2022-06-28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</si>
  <si>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</si>
  <si>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</si>
  <si>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</si>
  <si>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</si>
  <si>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</si>
  <si>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</si>
  <si>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</si>
  <si>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</si>
  <si>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Net settlement for Equity with settlement number: 2022130</t>
  </si>
  <si>
    <t>2022-07-12</t>
  </si>
  <si>
    <t>2022-07-13</t>
  </si>
  <si>
    <t>2022-07-14</t>
  </si>
  <si>
    <t>2022-07-15</t>
  </si>
  <si>
    <t>Net settlement for Equity with settlement number: 2022134</t>
  </si>
  <si>
    <t>Call and Trade charges(Auto Square Off) for 2022-07-18</t>
  </si>
  <si>
    <t>2022-07-18</t>
  </si>
  <si>
    <t>DP Charges for Sale of SUNPHARMA on 18/07/2022</t>
  </si>
  <si>
    <t>Net settlement for Equity with settlement number: 2022135</t>
  </si>
  <si>
    <t>2022-07-19</t>
  </si>
  <si>
    <t>DP Charges for Sale of ISEC on 18/07/2022</t>
  </si>
  <si>
    <t>DP Charges for Sale of RSWM on 18/07/2022</t>
  </si>
  <si>
    <t>2022-07-20</t>
  </si>
  <si>
    <t>DP Charges for Sale of OIL on 20/07/2022</t>
  </si>
  <si>
    <t>DP Charges for Sale of NHPC on 20/07/2022</t>
  </si>
  <si>
    <t>DP Charges for Sale of INDHOTEL on 20/07/2022</t>
  </si>
  <si>
    <t>DP Charges for Sale of TRIDENT on 20/07/2022</t>
  </si>
  <si>
    <t>Net settlement for Equity with settlement number: 2022137</t>
  </si>
  <si>
    <t>DP Charges for Sale of TATASTEEL on 20/07/2022</t>
  </si>
  <si>
    <t>2022-07-21</t>
  </si>
  <si>
    <t>DP Charges for Sale of RITES on 20/07/2022</t>
  </si>
  <si>
    <t>DP Charges for Sale of PTC on 20/07/2022</t>
  </si>
  <si>
    <t>DP Charges for Sale of ADORFO on 21/07/2022</t>
  </si>
  <si>
    <t>DP Charges for Sale of BAJAJCON on 21/07/2022</t>
  </si>
  <si>
    <t>DP Charges for Sale of HINDZINC on 21/07/2022</t>
  </si>
  <si>
    <t>DP Charges for Sale of NATIONALUM on 21/07/2022</t>
  </si>
  <si>
    <t>DP Charges for Sale of CASTROLIND on 21/07/2022</t>
  </si>
  <si>
    <t>DP Charges for Sale of CESC on 21/07/2022</t>
  </si>
  <si>
    <t>DP Charges for Sale of HINDPETRO on 21/07/2022</t>
  </si>
  <si>
    <t>DP Charges for Sale of NMDC on 21/07/2022</t>
  </si>
  <si>
    <t>DP Charges for Sale of BALMLAWRIE on 21/07/2022</t>
  </si>
  <si>
    <t>DP Charges for Sale of BPCL on 21/07/2022</t>
  </si>
  <si>
    <t>DP Charges for Sale of HEIDELBERG on 21/07/2022</t>
  </si>
  <si>
    <t>DP Charges for Sale of GAIL on 21/07/2022</t>
  </si>
  <si>
    <t>DP Charges for Sale of COCHINSHIP on 21/07/2022</t>
  </si>
  <si>
    <t>DP Charges for Sale of PNBGILTS on 21/07/2022</t>
  </si>
  <si>
    <t>DP Charges for Sale of GEOJITFSL on 21/07/2022</t>
  </si>
  <si>
    <t>DP Charges for Sale of ITC on 21/07/2022</t>
  </si>
  <si>
    <t>DP Charges for Sale of SJVN on 21/07/2022</t>
  </si>
  <si>
    <t>Net settlement for Equity with settlement number: 2022138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</si>
  <si>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</si>
  <si>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</si>
  <si>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</si>
  <si>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</si>
  <si>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</si>
  <si>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</si>
  <si>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</si>
  <si>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</si>
  <si>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</si>
  <si>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</si>
  <si>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</si>
  <si>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</si>
  <si>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Net settlement for Equity with settlement number: 2022150</t>
  </si>
  <si>
    <t>2022-08-10</t>
  </si>
  <si>
    <t>2022-08-11</t>
  </si>
  <si>
    <t>2022-08-12</t>
  </si>
  <si>
    <t>2022-08-16</t>
  </si>
  <si>
    <t>Net settlement for Equity with settlement number: 2022154</t>
  </si>
  <si>
    <t>2022-08-17</t>
  </si>
  <si>
    <t>2022-08-18</t>
  </si>
  <si>
    <t>Net settlement for Equity with settlement number: 2022156</t>
  </si>
  <si>
    <t>2022-08-19</t>
  </si>
  <si>
    <t>2022-08-22</t>
  </si>
  <si>
    <t>Net settlement for Equity with settlement number: 2022158</t>
  </si>
  <si>
    <t>2022-08-23</t>
  </si>
  <si>
    <t>2022-08-24</t>
  </si>
  <si>
    <t>2022-08-25</t>
  </si>
  <si>
    <t>DP Charges for Sale of HUDCO on 26/08/2022</t>
  </si>
  <si>
    <t>2022-08-26</t>
  </si>
  <si>
    <t>DP Charges for Sale of VEDL on 26/08/2022</t>
  </si>
  <si>
    <t>DP Charges for Sale of HDFCLIFE on 26/08/2022</t>
  </si>
  <si>
    <t>DP Charges for Sale of SBIN on 26/08/2022</t>
  </si>
  <si>
    <t>DP Charges for Sale of PNBGILTS on 26/08/2022</t>
  </si>
  <si>
    <t>DP Charges for Sale of WIPRO on 26/08/2022</t>
  </si>
  <si>
    <t>DP Charges for Sale of NHPC on 26/08/2022</t>
  </si>
  <si>
    <t>DP Charges for Sale of PTC on 26/08/2022</t>
  </si>
  <si>
    <t>DP Charges for Sale of HINDALCO on 26/08/2022</t>
  </si>
  <si>
    <t>DP Charges for Sale of COALINDIA on 26/08/2022</t>
  </si>
  <si>
    <t>DP Charges for Sale of OIL on 26/08/2022</t>
  </si>
  <si>
    <t>DP Charges for Sale of GPPL on 26/08/2022</t>
  </si>
  <si>
    <t>DP Charges for Sale of BPCL on 26/08/2022</t>
  </si>
  <si>
    <t>DP Charges for Sale of SAIL on 26/08/2022</t>
  </si>
  <si>
    <t>DP Charges for Sale of SJVN on 26/08/2022</t>
  </si>
  <si>
    <t>DP Charges for Sale of PFC on 26/08/2022</t>
  </si>
  <si>
    <t>DP Charges for Sale of IRFC on 26/08/2022</t>
  </si>
  <si>
    <t>DP Charges for Sale of POWERGRID on 26/08/2022</t>
  </si>
  <si>
    <t>DP Charges for Sale of RVNL on 26/08/2022</t>
  </si>
  <si>
    <t>DP Charges for Sale of RITES on 26/08/2022</t>
  </si>
  <si>
    <t>DP Charges for Sale of ITC on 26/08/2022</t>
  </si>
  <si>
    <t>DP Charges for Sale of TATASTEEL on 26/08/2022</t>
  </si>
  <si>
    <t>DP Charges for Sale of GAIL on 26/08/2022</t>
  </si>
  <si>
    <t>DP Charges for Sale of IRCON on 26/08/2022</t>
  </si>
  <si>
    <t>DP Charges for Sale of IOC on 26/08/2022</t>
  </si>
  <si>
    <t>DP Charges for Sale of INDUSTOWER on 26/08/2022</t>
  </si>
  <si>
    <t>DP Charges for Sale of NTPC on 26/08/2022</t>
  </si>
  <si>
    <t>DP Charges for Sale of BHEL on 26/08/2022</t>
  </si>
  <si>
    <t>DP Charges for Sale of SUNTV on 26/08/2022</t>
  </si>
  <si>
    <t>DP Charges for Sale of ONGC on 26/08/2022</t>
  </si>
  <si>
    <t>DP Charges for Sale of RECLTD on 26/08/2022</t>
  </si>
  <si>
    <t>DP Charges for Sale of HINDZINC on 26/08/2022</t>
  </si>
  <si>
    <t>DP Charges for Sale of TATAMOTORS on 26/08/2022</t>
  </si>
  <si>
    <t>Net settlement for Equity with settlement number: 2022162</t>
  </si>
  <si>
    <t>2022-08-29</t>
  </si>
  <si>
    <t>2022-09-01</t>
  </si>
  <si>
    <t>2022-09-02</t>
  </si>
  <si>
    <t>2022-09-05</t>
  </si>
  <si>
    <t>2022-09-06</t>
  </si>
  <si>
    <t>2022-09-07</t>
  </si>
  <si>
    <t>2022-09-08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</si>
  <si>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</si>
  <si>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</si>
  <si>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</si>
  <si>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</si>
  <si>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</si>
  <si>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</si>
  <si>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</si>
  <si>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</si>
  <si>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</si>
  <si>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</si>
  <si>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</si>
  <si>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</si>
  <si>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</si>
  <si>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</si>
  <si>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Brokerage  on 2022-10-24</t>
  </si>
  <si>
    <t>2022-10-25</t>
  </si>
  <si>
    <t>2022-10-27</t>
  </si>
  <si>
    <t>2022-10-28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</si>
  <si>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</si>
  <si>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</si>
  <si>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</si>
  <si>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</si>
  <si>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</si>
  <si>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</si>
  <si>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</si>
  <si>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</si>
  <si>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</si>
  <si>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</si>
  <si>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</si>
  <si>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</si>
  <si>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</si>
  <si>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</si>
  <si>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</si>
  <si>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</si>
  <si>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</si>
  <si>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</si>
  <si>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</si>
  <si>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</si>
  <si>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</si>
  <si>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</si>
  <si>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</si>
  <si>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2022-12-12</t>
  </si>
  <si>
    <t>2022-12-13</t>
  </si>
  <si>
    <t>AMC for Demat Account for 27-09-2021 to 26-12-2021</t>
  </si>
  <si>
    <t>AMC for Demat Account for 27-12-2021 to 27-03-2022</t>
  </si>
  <si>
    <t>2022-12-14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</si>
  <si>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</si>
  <si>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</si>
  <si>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</si>
  <si>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</si>
  <si>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</si>
  <si>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</si>
  <si>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</si>
  <si>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</si>
  <si>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</si>
  <si>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</si>
  <si>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</si>
  <si>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</si>
  <si>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</si>
  <si>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</si>
  <si>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</si>
  <si>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</si>
  <si>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</si>
  <si>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</si>
  <si>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</si>
  <si>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</si>
  <si>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2023-01-27</t>
  </si>
  <si>
    <t>2023-01-30</t>
  </si>
  <si>
    <t>2023-01-31</t>
  </si>
  <si>
    <t>2022-11-28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</si>
  <si>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</si>
  <si>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</si>
  <si>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</si>
  <si>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</si>
  <si>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</si>
  <si>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</si>
  <si>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</si>
  <si>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</si>
  <si>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</si>
  <si>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</si>
  <si>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</si>
  <si>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Call and Trade charges(Auto Square Off) for 2023-06-16</t>
  </si>
  <si>
    <t>2023-06-16</t>
  </si>
  <si>
    <t>2023-06-19</t>
  </si>
  <si>
    <t>2023-06-20</t>
  </si>
  <si>
    <t>2023-06-21</t>
  </si>
  <si>
    <t>2023-06-22</t>
  </si>
  <si>
    <t>2023-06-23</t>
  </si>
  <si>
    <t>2023-07-04</t>
  </si>
  <si>
    <t>2023-07-05</t>
  </si>
  <si>
    <t>2023-07-11</t>
  </si>
  <si>
    <t>2023-07-12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</si>
  <si>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</si>
  <si>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</si>
  <si>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</si>
  <si>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</si>
  <si>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</si>
  <si>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</si>
  <si>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</si>
  <si>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</si>
  <si>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</si>
  <si>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</si>
  <si>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</si>
  <si>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</si>
  <si>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AMC for Demat Account for 27-03-2023 to 25-06-2023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</si>
  <si>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</si>
  <si>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</si>
  <si>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</si>
  <si>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</si>
  <si>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</si>
  <si>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</si>
  <si>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</si>
  <si>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</si>
  <si>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</si>
  <si>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</si>
  <si>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</si>
  <si>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</si>
  <si>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</si>
  <si>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</si>
  <si>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</si>
  <si>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</si>
  <si>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</si>
  <si>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</si>
  <si>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</si>
  <si>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</si>
  <si>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</si>
  <si>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</si>
  <si>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</si>
  <si>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</si>
  <si>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</si>
  <si>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</si>
  <si>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</si>
  <si>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</si>
  <si>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</si>
  <si>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</si>
  <si>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</si>
  <si>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</si>
  <si>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</si>
  <si>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</si>
  <si>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</si>
  <si>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</si>
  <si>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</si>
  <si>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</si>
  <si>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</si>
  <si>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</si>
  <si>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</si>
  <si>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</si>
  <si>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</si>
  <si>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</si>
  <si>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</si>
  <si>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</si>
  <si>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</si>
  <si>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</si>
  <si>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</si>
  <si>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</si>
  <si>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</si>
  <si>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</si>
  <si>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</si>
  <si>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</si>
  <si>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</si>
  <si>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</si>
  <si>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</si>
  <si>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</si>
  <si>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</si>
  <si>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</si>
  <si>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</si>
  <si>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</si>
  <si>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</si>
  <si>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</si>
  <si>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</si>
  <si>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</si>
  <si>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</si>
  <si>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</si>
  <si>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</si>
  <si>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</si>
  <si>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</si>
  <si>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</si>
  <si>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</si>
  <si>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</si>
  <si>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</si>
  <si>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</si>
  <si>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</si>
  <si>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</si>
  <si>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</si>
  <si>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</si>
  <si>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</si>
  <si>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</si>
  <si>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</si>
  <si>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</si>
  <si>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</si>
  <si>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</si>
  <si>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</si>
  <si>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</si>
  <si>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</si>
  <si>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</si>
  <si>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</si>
  <si>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</si>
  <si>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AMC for Demat Account for 26-06-2023 to 24-09-2023</t>
  </si>
  <si>
    <t>2023-12-30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</si>
  <si>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</si>
  <si>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</si>
  <si>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</si>
  <si>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</si>
  <si>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</si>
  <si>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</si>
  <si>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</si>
  <si>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</si>
  <si>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</si>
  <si>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</si>
  <si>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</si>
  <si>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</si>
  <si>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</si>
  <si>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</si>
  <si>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</si>
  <si>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2024-01-20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</si>
  <si>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</si>
  <si>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</si>
  <si>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</si>
  <si>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</si>
  <si>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</si>
  <si>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</si>
  <si>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</si>
  <si>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</si>
  <si>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</si>
  <si>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</si>
  <si>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</si>
  <si>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</si>
  <si>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</si>
  <si>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</si>
  <si>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</si>
  <si>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</si>
  <si>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</si>
  <si>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</si>
  <si>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</si>
  <si>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</si>
  <si>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</si>
  <si>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</si>
  <si>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</si>
  <si>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</si>
  <si>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</si>
  <si>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</si>
  <si>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</si>
  <si>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</si>
  <si>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</si>
  <si>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</si>
  <si>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</si>
  <si>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</si>
  <si>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</si>
  <si>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</si>
  <si>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</si>
  <si>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</si>
  <si>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</si>
  <si>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</si>
  <si>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</si>
  <si>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</si>
  <si>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</si>
  <si>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</si>
  <si>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</si>
  <si>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</si>
  <si>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</si>
  <si>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AMC for Demat Account for 25-09-2023 to 24-12-2023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</si>
  <si>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</si>
  <si>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</si>
  <si>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</si>
  <si>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</si>
  <si>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</si>
  <si>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</si>
  <si>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</si>
  <si>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</si>
  <si>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</si>
  <si>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</si>
  <si>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</si>
  <si>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</si>
  <si>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</si>
  <si>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</si>
  <si>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</si>
  <si>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</si>
  <si>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</si>
  <si>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</si>
  <si>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</si>
  <si>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</si>
  <si>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</si>
  <si>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</si>
  <si>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</si>
  <si>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</si>
  <si>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</si>
  <si>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</si>
  <si>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Delayed payment charges for April - 2024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</si>
  <si>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</si>
  <si>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</si>
  <si>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</si>
  <si>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</si>
  <si>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</si>
  <si>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</si>
  <si>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</si>
  <si>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</si>
  <si>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</si>
  <si>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</si>
  <si>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</si>
  <si>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</si>
  <si>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</si>
  <si>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</si>
  <si>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</si>
  <si>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</si>
  <si>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</si>
  <si>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</si>
  <si>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</si>
  <si>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</si>
  <si>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</si>
  <si>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</si>
  <si>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Delayed payment charges for May - 2024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</si>
  <si>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</si>
  <si>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</si>
  <si>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</si>
  <si>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</si>
  <si>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</si>
  <si>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</si>
  <si>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</si>
  <si>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</si>
  <si>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</si>
  <si>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</si>
  <si>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</si>
  <si>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</si>
  <si>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</si>
  <si>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</si>
  <si>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</si>
  <si>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2024-07-08</t>
  </si>
  <si>
    <t>2024-07-09</t>
  </si>
  <si>
    <t>2024-07-10</t>
  </si>
  <si>
    <t>2024-07-11</t>
  </si>
  <si>
    <t>2024-07-15</t>
  </si>
  <si>
    <t>2024-07-16</t>
  </si>
  <si>
    <t>2024-09-09</t>
  </si>
  <si>
    <t>2024-09-11</t>
  </si>
  <si>
    <t>2024-09-30</t>
  </si>
  <si>
    <t>2024-10-01</t>
  </si>
  <si>
    <t>2024-10-03</t>
  </si>
  <si>
    <t>Bank Modification Charges</t>
  </si>
  <si>
    <t>2024-10-23</t>
  </si>
  <si>
    <t>2024-11-29</t>
  </si>
  <si>
    <t>2024-12-24</t>
  </si>
  <si>
    <t>2025-01-17</t>
  </si>
  <si>
    <t>2025-01-20</t>
  </si>
  <si>
    <t>2025-01-21</t>
  </si>
  <si>
    <t>2025-01-22</t>
  </si>
  <si>
    <t>2025-01-30</t>
  </si>
  <si>
    <t>2025-01-31</t>
  </si>
  <si>
    <t>2025-02-01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</si>
  <si>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</si>
  <si>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</si>
  <si>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</si>
  <si>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</si>
  <si>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</si>
  <si>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</si>
  <si>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</si>
  <si>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</si>
  <si>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</si>
  <si>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</si>
  <si>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</si>
  <si>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</si>
  <si>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</si>
  <si>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</si>
  <si>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</si>
  <si>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</si>
  <si>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</si>
  <si>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</si>
  <si>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</si>
  <si>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AMC for Demat Account for 25-07-2024 to 23-10-2024</t>
  </si>
  <si>
    <t>2025-03-17</t>
  </si>
  <si>
    <t>2025-03-18</t>
  </si>
  <si>
    <t>2025-03-19</t>
  </si>
  <si>
    <t>2025-03-20</t>
  </si>
  <si>
    <t>2025-03-21</t>
  </si>
  <si>
    <t>2025-03-24</t>
  </si>
  <si>
    <t>AMC for Demat Account for 24-10-2024 to 22-01-2025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</si>
  <si>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</si>
  <si>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</si>
  <si>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</si>
  <si>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</si>
  <si>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</si>
  <si>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</si>
  <si>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</si>
  <si>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</si>
  <si>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</si>
  <si>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</si>
  <si>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</si>
  <si>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</si>
  <si>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</si>
  <si>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</si>
  <si>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</si>
  <si>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</si>
  <si>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</si>
  <si>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</si>
  <si>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</si>
  <si>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</si>
  <si>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</si>
  <si>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</si>
  <si>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</si>
  <si>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</si>
  <si>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</si>
  <si>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</si>
  <si>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</si>
  <si>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</si>
  <si>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</si>
  <si>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</si>
  <si>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</si>
  <si>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</si>
  <si>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</si>
  <si>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2025-05-19</t>
  </si>
  <si>
    <t>Net settlement for Equity with settlement number: 2025093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</si>
  <si>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</si>
  <si>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</si>
  <si>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</si>
  <si>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</si>
  <si>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</si>
  <si>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</si>
  <si>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</si>
  <si>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Kite Connect API Charges (2025-05-28)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</si>
  <si>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</si>
  <si>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</si>
  <si>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</si>
  <si>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</si>
  <si>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</si>
  <si>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</si>
  <si>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</si>
  <si>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</si>
  <si>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</si>
  <si>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</si>
  <si>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</si>
  <si>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</si>
  <si>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</si>
  <si>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</si>
  <si>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</si>
  <si>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</si>
  <si>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</si>
  <si>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</si>
  <si>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</si>
  <si>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</si>
  <si>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</si>
  <si>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</si>
  <si>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Net settlement for Equity with settlement number: 2025122</t>
  </si>
  <si>
    <t>Narration</t>
  </si>
  <si>
    <t>Trade Date</t>
  </si>
  <si>
    <t>Balance</t>
  </si>
  <si>
    <t>Obligation Of Derivative Market: FNO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</si>
</sst>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4" fontId="1" fillId="0" borderId="1" xfId="0" applyNumberFormat="1" applyFont="1" applyBorder="1" applyAlignment="1">
      <alignment vertical="center"/>
    </xf>
    <xf numFmtId="15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C75E-3792-5A48-80D5-B790838227C3}">
  <dimension ref="A1:N1301"/>
  <sheetViews>
    <sheetView tabSelected="1" workbookViewId="0">
      <selection activeCell="M10" sqref="M10"/>
    </sheetView>
  </sheetViews>
  <sheetFormatPr baseColWidth="10" defaultRowHeight="26"/>
  <cols>
    <col min="1" max="1" width="16.1640625" style="2" bestFit="1" customWidth="1"/>
    <col min="2" max="3" width="20" style="2" bestFit="1" customWidth="1"/>
    <col min="4" max="4" width="15.83203125" style="2" bestFit="1" customWidth="1"/>
    <col min="5" max="5" width="9.83203125" style="2" bestFit="1" customWidth="1"/>
    <col min="6" max="6" width="16.6640625" style="2" bestFit="1" customWidth="1"/>
    <col min="7" max="7" width="8.1640625" style="2" bestFit="1" customWidth="1"/>
    <col min="8" max="9" width="20" style="2" bestFit="1" customWidth="1"/>
    <col min="10" max="10" width="21" style="2" bestFit="1" customWidth="1"/>
    <col min="11" max="11" width="13.1640625" style="2" bestFit="1" customWidth="1"/>
    <col min="12" max="12" width="17.6640625" style="2" bestFit="1" customWidth="1"/>
    <col min="13" max="13" width="10.83203125" style="2"/>
    <col min="14" max="14" width="11.5" style="2" bestFit="1" customWidth="1"/>
    <col min="15" max="16384" width="10.83203125" style="2"/>
  </cols>
  <sheetData>
    <row r="1" spans="1:14">
      <c r="A1" s="1" t="s">
        <v>109</v>
      </c>
      <c r="B1" s="1" t="s">
        <v>107</v>
      </c>
      <c r="C1" s="1" t="s">
        <v>108</v>
      </c>
      <c r="D1" s="1"/>
      <c r="H1" s="2">
        <f>SUM(H2:H6)</f>
        <v>9258681.9040000029</v>
      </c>
      <c r="I1" s="2">
        <f>SUM(I2:I6)</f>
        <v>5819872.3186000017</v>
      </c>
      <c r="J1" s="2">
        <f>SUM(J2:J6)</f>
        <v>-3438809.5854000021</v>
      </c>
    </row>
    <row r="2" spans="1:14">
      <c r="A2" s="3">
        <v>44202</v>
      </c>
      <c r="B2" s="1">
        <v>369.31810000000002</v>
      </c>
      <c r="C2" s="1">
        <v>0</v>
      </c>
      <c r="D2" s="1"/>
      <c r="G2" s="2">
        <v>2021</v>
      </c>
      <c r="H2" s="2">
        <f>SUM(B2:B192)</f>
        <v>224594.16380000013</v>
      </c>
      <c r="I2" s="2">
        <f>SUM(C2:C192)</f>
        <v>74707.2261</v>
      </c>
      <c r="J2" s="2">
        <f>I2-H2</f>
        <v>-149886.93770000013</v>
      </c>
    </row>
    <row r="3" spans="1:14">
      <c r="A3" s="3">
        <v>44214</v>
      </c>
      <c r="B3" s="1">
        <v>8904.9136999999992</v>
      </c>
      <c r="C3" s="1">
        <v>0</v>
      </c>
      <c r="D3" s="1"/>
      <c r="G3" s="2">
        <v>2022</v>
      </c>
      <c r="H3" s="2">
        <f>SUM(B193:B397)</f>
        <v>368054.09150000004</v>
      </c>
      <c r="I3" s="2">
        <f>SUM(C193:C397)</f>
        <v>164587.17639999997</v>
      </c>
      <c r="J3" s="2">
        <f>I3-H3</f>
        <v>-203466.91510000007</v>
      </c>
    </row>
    <row r="4" spans="1:14">
      <c r="A4" s="3">
        <v>44216</v>
      </c>
      <c r="B4" s="1">
        <v>0</v>
      </c>
      <c r="C4" s="1">
        <v>11238.343000000001</v>
      </c>
      <c r="D4" s="1"/>
      <c r="G4" s="2">
        <v>2023</v>
      </c>
      <c r="H4" s="2">
        <f>SUM(B398:B540)</f>
        <v>1722070.6315000004</v>
      </c>
      <c r="I4" s="2">
        <f>SUM(C398:C540)</f>
        <v>1456538.6866000004</v>
      </c>
      <c r="J4" s="2">
        <f>I4-H4</f>
        <v>-265531.9449</v>
      </c>
    </row>
    <row r="5" spans="1:14">
      <c r="A5" s="3">
        <v>44221</v>
      </c>
      <c r="B5" s="1">
        <v>8244.7515000000003</v>
      </c>
      <c r="C5" s="1">
        <v>0</v>
      </c>
      <c r="D5" s="1"/>
      <c r="G5" s="2">
        <v>2024</v>
      </c>
      <c r="H5" s="2">
        <f>SUM(B541:B776)</f>
        <v>4858552.3411000036</v>
      </c>
      <c r="I5" s="2">
        <f>SUM(C541:C776)</f>
        <v>3346656.5383000011</v>
      </c>
      <c r="J5" s="2">
        <f>I5-H5</f>
        <v>-1511895.8028000025</v>
      </c>
    </row>
    <row r="6" spans="1:14">
      <c r="A6" s="3">
        <v>44223</v>
      </c>
      <c r="B6" s="1">
        <v>0</v>
      </c>
      <c r="C6" s="1">
        <v>238.73570000000001</v>
      </c>
      <c r="D6" s="1"/>
      <c r="G6" s="2">
        <v>2025</v>
      </c>
      <c r="H6" s="2">
        <f>SUM(B777:B1040)</f>
        <v>2085410.6760999998</v>
      </c>
      <c r="I6" s="2">
        <f>SUM(C777:C1040)</f>
        <v>777382.6912</v>
      </c>
      <c r="J6" s="2">
        <f>I6-H6</f>
        <v>-1308027.9848999998</v>
      </c>
      <c r="K6" s="2">
        <f>SUM(E933:E1040)</f>
        <v>1080000</v>
      </c>
      <c r="L6" s="2">
        <f>J5+J6</f>
        <v>-2819923.7877000021</v>
      </c>
      <c r="M6" s="2">
        <f>L6/10000</f>
        <v>-281.99237877000019</v>
      </c>
      <c r="N6" s="2">
        <f>10000*2</f>
        <v>20000</v>
      </c>
    </row>
    <row r="7" spans="1:14">
      <c r="A7" s="1" t="s">
        <v>0</v>
      </c>
      <c r="B7" s="1">
        <v>1422.9108000000001</v>
      </c>
      <c r="C7" s="1">
        <v>0</v>
      </c>
      <c r="D7" s="1"/>
      <c r="M7" s="2">
        <f>L6/20000</f>
        <v>-140.99618938500009</v>
      </c>
      <c r="N7" s="2">
        <f>20000*2</f>
        <v>40000</v>
      </c>
    </row>
    <row r="8" spans="1:14">
      <c r="A8" s="3">
        <v>44198</v>
      </c>
      <c r="B8" s="1">
        <v>1524.5389</v>
      </c>
      <c r="C8" s="1">
        <v>0</v>
      </c>
      <c r="D8" s="1"/>
      <c r="M8" s="2">
        <f>L6/30000</f>
        <v>-93.997459590000076</v>
      </c>
      <c r="N8" s="2">
        <f>30000*2</f>
        <v>60000</v>
      </c>
    </row>
    <row r="9" spans="1:14">
      <c r="A9" s="3">
        <v>44229</v>
      </c>
      <c r="B9" s="1">
        <v>0</v>
      </c>
      <c r="C9" s="1">
        <v>908.9443</v>
      </c>
      <c r="D9" s="1"/>
      <c r="M9" s="2">
        <f>L6/40000</f>
        <v>-70.498094692500047</v>
      </c>
      <c r="N9" s="2">
        <f>40000*2</f>
        <v>80000</v>
      </c>
    </row>
    <row r="10" spans="1:14">
      <c r="A10" s="3">
        <v>44257</v>
      </c>
      <c r="B10" s="1">
        <v>128.5779</v>
      </c>
      <c r="C10" s="1">
        <v>0</v>
      </c>
      <c r="D10" s="1"/>
      <c r="M10" s="2">
        <f>L6/50000</f>
        <v>-56.398475754000039</v>
      </c>
      <c r="N10" s="2">
        <f>50000*2</f>
        <v>100000</v>
      </c>
    </row>
    <row r="11" spans="1:14">
      <c r="A11" s="3">
        <v>44288</v>
      </c>
      <c r="B11" s="1">
        <v>105.8231</v>
      </c>
      <c r="C11" s="1">
        <v>0</v>
      </c>
      <c r="D11" s="1"/>
    </row>
    <row r="12" spans="1:14">
      <c r="A12" s="3">
        <v>44318</v>
      </c>
      <c r="B12" s="1">
        <v>2242.3231000000001</v>
      </c>
      <c r="C12" s="1">
        <v>0</v>
      </c>
      <c r="D12" s="1"/>
    </row>
    <row r="13" spans="1:14">
      <c r="A13" s="3">
        <v>44410</v>
      </c>
      <c r="B13" s="1">
        <v>85.615399999999994</v>
      </c>
      <c r="C13" s="1">
        <v>0</v>
      </c>
      <c r="D13" s="1"/>
    </row>
    <row r="14" spans="1:14">
      <c r="A14" s="3">
        <v>44236</v>
      </c>
      <c r="B14" s="1">
        <v>0</v>
      </c>
      <c r="C14" s="1">
        <v>1297.2074</v>
      </c>
      <c r="D14" s="1"/>
    </row>
    <row r="15" spans="1:14">
      <c r="A15" s="3">
        <v>44245</v>
      </c>
      <c r="B15" s="1">
        <v>575.899</v>
      </c>
      <c r="C15" s="1">
        <v>0</v>
      </c>
      <c r="D15" s="1"/>
    </row>
    <row r="16" spans="1:14">
      <c r="A16" s="3">
        <v>44249</v>
      </c>
      <c r="B16" s="1">
        <v>2656.1062000000002</v>
      </c>
      <c r="C16" s="1">
        <v>0</v>
      </c>
      <c r="D16" s="1"/>
    </row>
    <row r="17" spans="1:4">
      <c r="A17" s="3">
        <v>44250</v>
      </c>
      <c r="B17" s="1">
        <v>0</v>
      </c>
      <c r="C17" s="1">
        <v>703.52710000000002</v>
      </c>
      <c r="D17" s="1"/>
    </row>
    <row r="18" spans="1:4">
      <c r="A18" s="3">
        <v>44251</v>
      </c>
      <c r="B18" s="1">
        <v>0</v>
      </c>
      <c r="C18" s="1">
        <v>2557.6428000000001</v>
      </c>
      <c r="D18" s="1"/>
    </row>
    <row r="19" spans="1:4">
      <c r="A19" s="3">
        <v>44252</v>
      </c>
      <c r="B19" s="1">
        <v>0</v>
      </c>
      <c r="C19" s="1">
        <v>423.79829999999998</v>
      </c>
      <c r="D19" s="1"/>
    </row>
    <row r="20" spans="1:4">
      <c r="A20" s="1" t="s">
        <v>1</v>
      </c>
      <c r="B20" s="1">
        <v>0</v>
      </c>
      <c r="C20" s="1">
        <v>463.87950000000001</v>
      </c>
      <c r="D20" s="1"/>
    </row>
    <row r="21" spans="1:4">
      <c r="A21" s="3">
        <v>44199</v>
      </c>
      <c r="B21" s="1">
        <v>5383.0375999999997</v>
      </c>
      <c r="C21" s="1">
        <v>0</v>
      </c>
      <c r="D21" s="1"/>
    </row>
    <row r="22" spans="1:4">
      <c r="A22" s="3">
        <v>44230</v>
      </c>
      <c r="B22" s="1">
        <v>0</v>
      </c>
      <c r="C22" s="1">
        <v>3418.9328</v>
      </c>
      <c r="D22" s="1"/>
    </row>
    <row r="23" spans="1:4">
      <c r="A23" s="3">
        <v>44258</v>
      </c>
      <c r="B23" s="1">
        <v>4329.8923999999997</v>
      </c>
      <c r="C23" s="1">
        <v>0</v>
      </c>
      <c r="D23" s="1"/>
    </row>
    <row r="24" spans="1:4">
      <c r="A24" s="3">
        <v>44289</v>
      </c>
      <c r="B24" s="1">
        <v>0</v>
      </c>
      <c r="C24" s="1">
        <v>2202.7563</v>
      </c>
      <c r="D24" s="1"/>
    </row>
    <row r="25" spans="1:4">
      <c r="A25" s="3">
        <v>44319</v>
      </c>
      <c r="B25" s="1">
        <v>3408.8022000000001</v>
      </c>
      <c r="C25" s="1">
        <v>0</v>
      </c>
      <c r="D25" s="1"/>
    </row>
    <row r="26" spans="1:4">
      <c r="A26" s="3">
        <v>44411</v>
      </c>
      <c r="B26" s="1">
        <v>0</v>
      </c>
      <c r="C26" s="1">
        <v>2677.3433</v>
      </c>
      <c r="D26" s="1"/>
    </row>
    <row r="27" spans="1:4">
      <c r="A27" s="3">
        <v>44442</v>
      </c>
      <c r="B27" s="1">
        <v>619.11249999999995</v>
      </c>
      <c r="C27" s="1">
        <v>0</v>
      </c>
      <c r="D27" s="1"/>
    </row>
    <row r="28" spans="1:4">
      <c r="A28" s="3">
        <v>44472</v>
      </c>
      <c r="B28" s="1">
        <v>5317.4243999999999</v>
      </c>
      <c r="C28" s="1">
        <v>0</v>
      </c>
      <c r="D28" s="1"/>
    </row>
    <row r="29" spans="1:4">
      <c r="A29" s="3">
        <v>44267</v>
      </c>
      <c r="B29" s="1">
        <v>0</v>
      </c>
      <c r="C29" s="1">
        <v>329.87729999999999</v>
      </c>
      <c r="D29" s="1"/>
    </row>
    <row r="30" spans="1:4">
      <c r="A30" s="3">
        <v>44270</v>
      </c>
      <c r="B30" s="1">
        <v>94.187899999999999</v>
      </c>
      <c r="C30" s="1">
        <v>0</v>
      </c>
      <c r="D30" s="1"/>
    </row>
    <row r="31" spans="1:4">
      <c r="A31" s="3">
        <v>44271</v>
      </c>
      <c r="B31" s="1">
        <v>6089.4994999999999</v>
      </c>
      <c r="C31" s="1">
        <v>0</v>
      </c>
      <c r="D31" s="1"/>
    </row>
    <row r="32" spans="1:4">
      <c r="A32" s="3">
        <v>44272</v>
      </c>
      <c r="B32" s="1">
        <v>0</v>
      </c>
      <c r="C32" s="1">
        <v>108.0004</v>
      </c>
      <c r="D32" s="1"/>
    </row>
    <row r="33" spans="1:4">
      <c r="A33" s="3">
        <v>44273</v>
      </c>
      <c r="B33" s="1">
        <v>3391.5852</v>
      </c>
      <c r="C33" s="1">
        <v>0</v>
      </c>
      <c r="D33" s="1"/>
    </row>
    <row r="34" spans="1:4">
      <c r="A34" s="3">
        <v>44274</v>
      </c>
      <c r="B34" s="1">
        <v>0</v>
      </c>
      <c r="C34" s="1">
        <v>220.08019999999999</v>
      </c>
      <c r="D34" s="1"/>
    </row>
    <row r="35" spans="1:4">
      <c r="A35" s="3">
        <v>44277</v>
      </c>
      <c r="B35" s="1">
        <v>2016.7102</v>
      </c>
      <c r="C35" s="1">
        <v>0</v>
      </c>
      <c r="D35" s="1"/>
    </row>
    <row r="36" spans="1:4">
      <c r="A36" s="3">
        <v>44278</v>
      </c>
      <c r="B36" s="1">
        <v>0</v>
      </c>
      <c r="C36" s="1">
        <v>146.93629999999999</v>
      </c>
      <c r="D36" s="1"/>
    </row>
    <row r="37" spans="1:4">
      <c r="A37" s="3">
        <v>44279</v>
      </c>
      <c r="B37" s="1">
        <v>674.22050000000002</v>
      </c>
      <c r="C37" s="1">
        <v>0</v>
      </c>
      <c r="D37" s="1"/>
    </row>
    <row r="38" spans="1:4">
      <c r="A38" s="3">
        <v>44281</v>
      </c>
      <c r="B38" s="1">
        <v>0</v>
      </c>
      <c r="C38" s="1">
        <v>258.17020000000002</v>
      </c>
      <c r="D38" s="1"/>
    </row>
    <row r="39" spans="1:4">
      <c r="A39" s="3">
        <v>44280</v>
      </c>
      <c r="B39" s="1">
        <v>0</v>
      </c>
      <c r="C39" s="1">
        <v>626.32280000000003</v>
      </c>
      <c r="D39" s="1"/>
    </row>
    <row r="40" spans="1:4">
      <c r="A40" s="3">
        <v>44285</v>
      </c>
      <c r="B40" s="1">
        <v>2082.4223000000002</v>
      </c>
      <c r="C40" s="1">
        <v>0</v>
      </c>
      <c r="D40" s="1"/>
    </row>
    <row r="41" spans="1:4">
      <c r="A41" s="1" t="s">
        <v>2</v>
      </c>
      <c r="B41" s="1">
        <v>470.95249999999999</v>
      </c>
      <c r="C41" s="1">
        <v>0</v>
      </c>
      <c r="D41" s="1"/>
    </row>
    <row r="42" spans="1:4">
      <c r="A42" s="3">
        <v>44200</v>
      </c>
      <c r="B42" s="1">
        <v>3106.8434999999999</v>
      </c>
      <c r="C42" s="1">
        <v>0</v>
      </c>
      <c r="D42" s="1"/>
    </row>
    <row r="43" spans="1:4">
      <c r="A43" s="3">
        <v>44320</v>
      </c>
      <c r="B43" s="1">
        <v>0</v>
      </c>
      <c r="C43" s="1">
        <v>432.09109999999998</v>
      </c>
      <c r="D43" s="1"/>
    </row>
    <row r="44" spans="1:4">
      <c r="A44" s="3">
        <v>44351</v>
      </c>
      <c r="B44" s="1">
        <v>0</v>
      </c>
      <c r="C44" s="1">
        <v>114.18380000000001</v>
      </c>
      <c r="D44" s="1"/>
    </row>
    <row r="45" spans="1:4">
      <c r="A45" s="3">
        <v>44381</v>
      </c>
      <c r="B45" s="1">
        <v>0</v>
      </c>
      <c r="C45" s="1">
        <v>871.62630000000001</v>
      </c>
      <c r="D45" s="1"/>
    </row>
    <row r="46" spans="1:4">
      <c r="A46" s="3">
        <v>44412</v>
      </c>
      <c r="B46" s="1">
        <v>8216.7371999999996</v>
      </c>
      <c r="C46" s="1">
        <v>0</v>
      </c>
      <c r="D46" s="1"/>
    </row>
    <row r="47" spans="1:4">
      <c r="A47" s="3">
        <v>44443</v>
      </c>
      <c r="B47" s="1">
        <v>0</v>
      </c>
      <c r="C47" s="1">
        <v>2936.355</v>
      </c>
      <c r="D47" s="1"/>
    </row>
    <row r="48" spans="1:4">
      <c r="A48" s="3">
        <v>44298</v>
      </c>
      <c r="B48" s="1">
        <v>612.30269999999996</v>
      </c>
      <c r="C48" s="1">
        <v>0</v>
      </c>
      <c r="D48" s="1"/>
    </row>
    <row r="49" spans="1:4">
      <c r="A49" s="3">
        <v>44299</v>
      </c>
      <c r="B49" s="1">
        <v>0</v>
      </c>
      <c r="C49" s="1">
        <v>2651.8771999999999</v>
      </c>
      <c r="D49" s="1"/>
    </row>
    <row r="50" spans="1:4">
      <c r="A50" s="3">
        <v>44301</v>
      </c>
      <c r="B50" s="1">
        <v>0</v>
      </c>
      <c r="C50" s="1">
        <v>942.38940000000002</v>
      </c>
      <c r="D50" s="1"/>
    </row>
    <row r="51" spans="1:4">
      <c r="A51" s="3">
        <v>44302</v>
      </c>
      <c r="B51" s="1">
        <v>3124.1246000000001</v>
      </c>
      <c r="C51" s="1">
        <v>0</v>
      </c>
      <c r="D51" s="1"/>
    </row>
    <row r="52" spans="1:4">
      <c r="A52" s="3">
        <v>44305</v>
      </c>
      <c r="B52" s="1">
        <v>1259.3081999999999</v>
      </c>
      <c r="C52" s="1">
        <v>0</v>
      </c>
      <c r="D52" s="1"/>
    </row>
    <row r="53" spans="1:4">
      <c r="A53" s="3">
        <v>44306</v>
      </c>
      <c r="B53" s="1">
        <v>2025.0414000000001</v>
      </c>
      <c r="C53" s="1">
        <v>0</v>
      </c>
      <c r="D53" s="1"/>
    </row>
    <row r="54" spans="1:4">
      <c r="A54" s="3">
        <v>44308</v>
      </c>
      <c r="B54" s="1">
        <v>0</v>
      </c>
      <c r="C54" s="1">
        <v>2109.7988</v>
      </c>
      <c r="D54" s="1"/>
    </row>
    <row r="55" spans="1:4">
      <c r="A55" s="3">
        <v>44309</v>
      </c>
      <c r="B55" s="1">
        <v>8765.1026999999995</v>
      </c>
      <c r="C55" s="1">
        <v>0</v>
      </c>
      <c r="D55" s="1"/>
    </row>
    <row r="56" spans="1:4">
      <c r="A56" s="3">
        <v>44312</v>
      </c>
      <c r="B56" s="1">
        <v>0</v>
      </c>
      <c r="C56" s="1">
        <v>1830.9622999999999</v>
      </c>
      <c r="D56" s="1"/>
    </row>
    <row r="57" spans="1:4">
      <c r="A57" s="3">
        <v>44313</v>
      </c>
      <c r="B57" s="1">
        <v>0</v>
      </c>
      <c r="C57" s="1">
        <v>162.3331</v>
      </c>
      <c r="D57" s="1"/>
    </row>
    <row r="58" spans="1:4">
      <c r="A58" s="3">
        <v>44314</v>
      </c>
      <c r="B58" s="1">
        <v>0</v>
      </c>
      <c r="C58" s="1">
        <v>224.5692</v>
      </c>
      <c r="D58" s="1"/>
    </row>
    <row r="59" spans="1:4">
      <c r="A59" s="3">
        <v>44315</v>
      </c>
      <c r="B59" s="1">
        <v>0</v>
      </c>
      <c r="C59" s="1">
        <v>1626.1225999999999</v>
      </c>
      <c r="D59" s="1"/>
    </row>
    <row r="60" spans="1:4">
      <c r="A60" s="1" t="s">
        <v>3</v>
      </c>
      <c r="B60" s="1">
        <v>2941.9074999999998</v>
      </c>
      <c r="C60" s="1">
        <v>0</v>
      </c>
      <c r="D60" s="1"/>
    </row>
    <row r="61" spans="1:4">
      <c r="A61" s="3">
        <v>44260</v>
      </c>
      <c r="B61" s="1">
        <v>4641.9368000000004</v>
      </c>
      <c r="C61" s="1">
        <v>0</v>
      </c>
      <c r="D61" s="1"/>
    </row>
    <row r="62" spans="1:4">
      <c r="A62" s="3">
        <v>44291</v>
      </c>
      <c r="B62" s="1">
        <v>6351.1293999999998</v>
      </c>
      <c r="C62" s="1">
        <v>0</v>
      </c>
      <c r="D62" s="1"/>
    </row>
    <row r="63" spans="1:4">
      <c r="A63" s="3">
        <v>44321</v>
      </c>
      <c r="B63" s="1">
        <v>2723.1051000000002</v>
      </c>
      <c r="C63" s="1">
        <v>0</v>
      </c>
      <c r="D63" s="1"/>
    </row>
    <row r="64" spans="1:4">
      <c r="A64" s="3">
        <v>44352</v>
      </c>
      <c r="B64" s="1">
        <v>4819.9196000000002</v>
      </c>
      <c r="C64" s="1">
        <v>0</v>
      </c>
      <c r="D64" s="1"/>
    </row>
    <row r="65" spans="1:4">
      <c r="A65" s="3">
        <v>44382</v>
      </c>
      <c r="B65" s="1">
        <v>546.82759999999996</v>
      </c>
      <c r="C65" s="1">
        <v>0</v>
      </c>
      <c r="D65" s="1"/>
    </row>
    <row r="66" spans="1:4">
      <c r="A66" s="3">
        <v>44474</v>
      </c>
      <c r="B66" s="1">
        <v>0</v>
      </c>
      <c r="C66" s="1">
        <v>24</v>
      </c>
      <c r="D66" s="1"/>
    </row>
    <row r="67" spans="1:4">
      <c r="A67" s="3">
        <v>44505</v>
      </c>
      <c r="B67" s="1">
        <v>751.053</v>
      </c>
      <c r="C67" s="1">
        <v>0</v>
      </c>
      <c r="D67" s="1"/>
    </row>
    <row r="68" spans="1:4">
      <c r="A68" s="3">
        <v>44328</v>
      </c>
      <c r="B68" s="1">
        <v>32.571100000000001</v>
      </c>
      <c r="C68" s="1">
        <v>0</v>
      </c>
      <c r="D68" s="1"/>
    </row>
    <row r="69" spans="1:4">
      <c r="A69" s="1" t="s">
        <v>4</v>
      </c>
      <c r="B69" s="1">
        <v>173.5282</v>
      </c>
      <c r="C69" s="1">
        <v>0</v>
      </c>
      <c r="D69" s="1"/>
    </row>
    <row r="70" spans="1:4">
      <c r="A70" s="3">
        <v>44202</v>
      </c>
      <c r="B70" s="1">
        <v>381.02179999999998</v>
      </c>
      <c r="C70" s="1">
        <v>0</v>
      </c>
      <c r="D70" s="1"/>
    </row>
    <row r="71" spans="1:4">
      <c r="A71" s="3">
        <v>44233</v>
      </c>
      <c r="B71" s="1">
        <v>1544.3465000000001</v>
      </c>
      <c r="C71" s="1">
        <v>0</v>
      </c>
      <c r="D71" s="1"/>
    </row>
    <row r="72" spans="1:4">
      <c r="A72" s="3">
        <v>44261</v>
      </c>
      <c r="B72" s="1">
        <v>0</v>
      </c>
      <c r="C72" s="1">
        <v>354.40170000000001</v>
      </c>
      <c r="D72" s="1"/>
    </row>
    <row r="73" spans="1:4">
      <c r="A73" s="3">
        <v>44292</v>
      </c>
      <c r="B73" s="1">
        <v>900.30650000000003</v>
      </c>
      <c r="C73" s="1">
        <v>0</v>
      </c>
      <c r="D73" s="1"/>
    </row>
    <row r="74" spans="1:4">
      <c r="A74" s="3">
        <v>44383</v>
      </c>
      <c r="B74" s="1">
        <v>0</v>
      </c>
      <c r="C74" s="1">
        <v>546.25429999999994</v>
      </c>
      <c r="D74" s="1"/>
    </row>
    <row r="75" spans="1:4">
      <c r="A75" s="3">
        <v>44414</v>
      </c>
      <c r="B75" s="1">
        <v>0</v>
      </c>
      <c r="C75" s="1">
        <v>900.89660000000003</v>
      </c>
      <c r="D75" s="1"/>
    </row>
    <row r="76" spans="1:4">
      <c r="A76" s="3">
        <v>44445</v>
      </c>
      <c r="B76" s="1">
        <v>3229.3886000000002</v>
      </c>
      <c r="C76" s="1">
        <v>0</v>
      </c>
      <c r="D76" s="1"/>
    </row>
    <row r="77" spans="1:4">
      <c r="A77" s="3">
        <v>44475</v>
      </c>
      <c r="B77" s="1">
        <v>0</v>
      </c>
      <c r="C77" s="1">
        <v>445.78879999999998</v>
      </c>
      <c r="D77" s="1"/>
    </row>
    <row r="78" spans="1:4">
      <c r="A78" s="3">
        <v>44358</v>
      </c>
      <c r="B78" s="1">
        <v>664.98940000000005</v>
      </c>
      <c r="C78" s="1">
        <v>0</v>
      </c>
      <c r="D78" s="1"/>
    </row>
    <row r="79" spans="1:4">
      <c r="A79" s="3">
        <v>44361</v>
      </c>
      <c r="B79" s="1">
        <v>632.13829999999996</v>
      </c>
      <c r="C79" s="1">
        <v>0</v>
      </c>
      <c r="D79" s="1"/>
    </row>
    <row r="80" spans="1:4">
      <c r="A80" s="3">
        <v>44362</v>
      </c>
      <c r="B80" s="1">
        <v>0</v>
      </c>
      <c r="C80" s="1">
        <v>1208.2039</v>
      </c>
      <c r="D80" s="1"/>
    </row>
    <row r="81" spans="1:4">
      <c r="A81" s="3">
        <v>44363</v>
      </c>
      <c r="B81" s="1">
        <v>144.80369999999999</v>
      </c>
      <c r="C81" s="1">
        <v>0</v>
      </c>
      <c r="D81" s="1"/>
    </row>
    <row r="82" spans="1:4">
      <c r="A82" s="3">
        <v>44364</v>
      </c>
      <c r="B82" s="1">
        <v>0</v>
      </c>
      <c r="C82" s="1">
        <v>92.190700000000007</v>
      </c>
      <c r="D82" s="1"/>
    </row>
    <row r="83" spans="1:4">
      <c r="A83" s="3">
        <v>44365</v>
      </c>
      <c r="B83" s="1">
        <v>0</v>
      </c>
      <c r="C83" s="1">
        <v>941.63639999999998</v>
      </c>
      <c r="D83" s="1"/>
    </row>
    <row r="84" spans="1:4">
      <c r="A84" s="3">
        <v>44368</v>
      </c>
      <c r="B84" s="1">
        <v>159.3509</v>
      </c>
      <c r="C84" s="1">
        <v>0</v>
      </c>
      <c r="D84" s="1"/>
    </row>
    <row r="85" spans="1:4">
      <c r="A85" s="3">
        <v>44369</v>
      </c>
      <c r="B85" s="1">
        <v>5108.9721</v>
      </c>
      <c r="C85" s="1">
        <v>0</v>
      </c>
      <c r="D85" s="1"/>
    </row>
    <row r="86" spans="1:4">
      <c r="A86" s="3">
        <v>44370</v>
      </c>
      <c r="B86" s="1">
        <v>4265.8041000000003</v>
      </c>
      <c r="C86" s="1">
        <v>0</v>
      </c>
      <c r="D86" s="1"/>
    </row>
    <row r="87" spans="1:4">
      <c r="A87" s="3">
        <v>44371</v>
      </c>
      <c r="B87" s="1">
        <v>3616.1235000000001</v>
      </c>
      <c r="C87" s="1">
        <v>0</v>
      </c>
      <c r="D87" s="1"/>
    </row>
    <row r="88" spans="1:4">
      <c r="A88" s="3">
        <v>44372</v>
      </c>
      <c r="B88" s="1">
        <v>0</v>
      </c>
      <c r="C88" s="1">
        <v>317.87740000000002</v>
      </c>
      <c r="D88" s="1"/>
    </row>
    <row r="89" spans="1:4">
      <c r="A89" s="3">
        <v>44375</v>
      </c>
      <c r="B89" s="1">
        <v>0</v>
      </c>
      <c r="C89" s="1">
        <v>442.76769999999999</v>
      </c>
      <c r="D89" s="1"/>
    </row>
    <row r="90" spans="1:4">
      <c r="A90" s="3">
        <v>44376</v>
      </c>
      <c r="B90" s="1">
        <v>399.13630000000001</v>
      </c>
      <c r="C90" s="1">
        <v>0</v>
      </c>
      <c r="D90" s="1"/>
    </row>
    <row r="91" spans="1:4">
      <c r="A91" s="1" t="s">
        <v>5</v>
      </c>
      <c r="B91" s="1">
        <v>0</v>
      </c>
      <c r="C91" s="1">
        <v>405.52879999999999</v>
      </c>
      <c r="D91" s="1"/>
    </row>
    <row r="92" spans="1:4">
      <c r="A92" s="3">
        <v>44203</v>
      </c>
      <c r="B92" s="1">
        <v>1317.1527000000001</v>
      </c>
      <c r="C92" s="1">
        <v>0</v>
      </c>
      <c r="D92" s="1"/>
    </row>
    <row r="93" spans="1:4">
      <c r="A93" s="3">
        <v>44234</v>
      </c>
      <c r="B93" s="1">
        <v>1291.2873</v>
      </c>
      <c r="C93" s="1">
        <v>0</v>
      </c>
      <c r="D93" s="1"/>
    </row>
    <row r="94" spans="1:4">
      <c r="A94" s="3">
        <v>44323</v>
      </c>
      <c r="B94" s="1">
        <v>337.10739999999998</v>
      </c>
      <c r="C94" s="1">
        <v>0</v>
      </c>
      <c r="D94" s="1"/>
    </row>
    <row r="95" spans="1:4">
      <c r="A95" s="3">
        <v>44354</v>
      </c>
      <c r="B95" s="1">
        <v>0</v>
      </c>
      <c r="C95" s="1">
        <v>273.72969999999998</v>
      </c>
      <c r="D95" s="1"/>
    </row>
    <row r="96" spans="1:4">
      <c r="A96" s="3">
        <v>44384</v>
      </c>
      <c r="B96" s="1">
        <v>0</v>
      </c>
      <c r="C96" s="1">
        <v>264.13470000000001</v>
      </c>
      <c r="D96" s="1"/>
    </row>
    <row r="97" spans="1:4">
      <c r="A97" s="3">
        <v>44415</v>
      </c>
      <c r="B97" s="1">
        <v>693.43870000000004</v>
      </c>
      <c r="C97" s="1">
        <v>0</v>
      </c>
      <c r="D97" s="1"/>
    </row>
    <row r="98" spans="1:4">
      <c r="A98" s="3">
        <v>44446</v>
      </c>
      <c r="B98" s="1">
        <v>540.36670000000004</v>
      </c>
      <c r="C98" s="1">
        <v>0</v>
      </c>
      <c r="D98" s="1"/>
    </row>
    <row r="99" spans="1:4">
      <c r="A99" s="3">
        <v>44389</v>
      </c>
      <c r="B99" s="1">
        <v>359.02170000000001</v>
      </c>
      <c r="C99" s="1">
        <v>0</v>
      </c>
      <c r="D99" s="1"/>
    </row>
    <row r="100" spans="1:4">
      <c r="A100" s="3">
        <v>44391</v>
      </c>
      <c r="B100" s="1">
        <v>98.421499999999995</v>
      </c>
      <c r="C100" s="1">
        <v>0</v>
      </c>
      <c r="D100" s="1"/>
    </row>
    <row r="101" spans="1:4">
      <c r="A101" s="3">
        <v>44403</v>
      </c>
      <c r="B101" s="1">
        <v>0.61160000000000003</v>
      </c>
      <c r="C101" s="1">
        <v>0</v>
      </c>
      <c r="D101" s="1"/>
    </row>
    <row r="102" spans="1:4">
      <c r="A102" s="3">
        <v>44405</v>
      </c>
      <c r="B102" s="1">
        <v>1417.6719000000001</v>
      </c>
      <c r="C102" s="1">
        <v>0</v>
      </c>
      <c r="D102" s="1"/>
    </row>
    <row r="103" spans="1:4">
      <c r="A103" s="1" t="s">
        <v>6</v>
      </c>
      <c r="B103" s="1">
        <v>2061.2381999999998</v>
      </c>
      <c r="C103" s="1">
        <v>0</v>
      </c>
      <c r="D103" s="1"/>
    </row>
    <row r="104" spans="1:4">
      <c r="A104" s="3">
        <v>44235</v>
      </c>
      <c r="B104" s="1">
        <v>501.08969999999999</v>
      </c>
      <c r="C104" s="1">
        <v>0</v>
      </c>
      <c r="D104" s="1"/>
    </row>
    <row r="105" spans="1:4">
      <c r="A105" s="3">
        <v>44263</v>
      </c>
      <c r="B105" s="1">
        <v>741.18460000000005</v>
      </c>
      <c r="C105" s="1">
        <v>0</v>
      </c>
      <c r="D105" s="1"/>
    </row>
    <row r="106" spans="1:4">
      <c r="A106" s="3">
        <v>44294</v>
      </c>
      <c r="B106" s="1">
        <v>0</v>
      </c>
      <c r="C106" s="1">
        <v>684.58579999999995</v>
      </c>
      <c r="D106" s="1"/>
    </row>
    <row r="107" spans="1:4">
      <c r="A107" s="3">
        <v>44324</v>
      </c>
      <c r="B107" s="1">
        <v>0</v>
      </c>
      <c r="C107" s="1">
        <v>2480.2919000000002</v>
      </c>
      <c r="D107" s="1"/>
    </row>
    <row r="108" spans="1:4">
      <c r="A108" s="3">
        <v>44355</v>
      </c>
      <c r="B108" s="1">
        <v>8457.018</v>
      </c>
      <c r="C108" s="1">
        <v>0</v>
      </c>
      <c r="D108" s="1"/>
    </row>
    <row r="109" spans="1:4">
      <c r="A109" s="3">
        <v>44447</v>
      </c>
      <c r="B109" s="1">
        <v>1343.2108000000001</v>
      </c>
      <c r="C109" s="1">
        <v>0</v>
      </c>
      <c r="D109" s="1"/>
    </row>
    <row r="110" spans="1:4">
      <c r="A110" s="3">
        <v>44477</v>
      </c>
      <c r="B110" s="1">
        <v>1322.0691999999999</v>
      </c>
      <c r="C110" s="1">
        <v>0</v>
      </c>
      <c r="D110" s="1"/>
    </row>
    <row r="111" spans="1:4">
      <c r="A111" s="3">
        <v>44508</v>
      </c>
      <c r="B111" s="1">
        <v>1781.3942</v>
      </c>
      <c r="C111" s="1">
        <v>0</v>
      </c>
      <c r="D111" s="1"/>
    </row>
    <row r="112" spans="1:4">
      <c r="A112" s="3">
        <v>44420</v>
      </c>
      <c r="B112" s="1">
        <v>2715.8973999999998</v>
      </c>
      <c r="C112" s="1">
        <v>0</v>
      </c>
      <c r="D112" s="1"/>
    </row>
    <row r="113" spans="1:4">
      <c r="A113" s="3">
        <v>44421</v>
      </c>
      <c r="B113" s="1">
        <v>0</v>
      </c>
      <c r="C113" s="1">
        <v>291.04520000000002</v>
      </c>
      <c r="D113" s="1"/>
    </row>
    <row r="114" spans="1:4">
      <c r="A114" s="3">
        <v>44424</v>
      </c>
      <c r="B114" s="1">
        <v>1289.2646</v>
      </c>
      <c r="C114" s="1">
        <v>0</v>
      </c>
      <c r="D114" s="1"/>
    </row>
    <row r="115" spans="1:4">
      <c r="A115" s="3">
        <v>44425</v>
      </c>
      <c r="B115" s="1">
        <v>319.4067</v>
      </c>
      <c r="C115" s="1">
        <v>0</v>
      </c>
      <c r="D115" s="1"/>
    </row>
    <row r="116" spans="1:4">
      <c r="A116" s="3">
        <v>44426</v>
      </c>
      <c r="B116" s="1">
        <v>0</v>
      </c>
      <c r="C116" s="1">
        <v>394.06819999999999</v>
      </c>
      <c r="D116" s="1"/>
    </row>
    <row r="117" spans="1:4">
      <c r="A117" s="3">
        <v>44428</v>
      </c>
      <c r="B117" s="1">
        <v>616.85910000000001</v>
      </c>
      <c r="C117" s="1">
        <v>0</v>
      </c>
      <c r="D117" s="1"/>
    </row>
    <row r="118" spans="1:4">
      <c r="A118" s="3">
        <v>44431</v>
      </c>
      <c r="B118" s="1">
        <v>0</v>
      </c>
      <c r="C118" s="1">
        <v>198.2295</v>
      </c>
      <c r="D118" s="1"/>
    </row>
    <row r="119" spans="1:4">
      <c r="A119" s="3">
        <v>44432</v>
      </c>
      <c r="B119" s="1">
        <v>0</v>
      </c>
      <c r="C119" s="1">
        <v>253.6635</v>
      </c>
      <c r="D119" s="1"/>
    </row>
    <row r="120" spans="1:4">
      <c r="A120" s="3">
        <v>44433</v>
      </c>
      <c r="B120" s="1">
        <v>1695.7402999999999</v>
      </c>
      <c r="C120" s="1">
        <v>0</v>
      </c>
      <c r="D120" s="1"/>
    </row>
    <row r="121" spans="1:4">
      <c r="A121" s="3">
        <v>44434</v>
      </c>
      <c r="B121" s="1">
        <v>1056.0251000000001</v>
      </c>
      <c r="C121" s="1">
        <v>0</v>
      </c>
      <c r="D121" s="1"/>
    </row>
    <row r="122" spans="1:4">
      <c r="A122" s="1" t="s">
        <v>7</v>
      </c>
      <c r="B122" s="1">
        <v>21.712299999999999</v>
      </c>
      <c r="C122" s="1">
        <v>0</v>
      </c>
      <c r="D122" s="1"/>
    </row>
    <row r="123" spans="1:4">
      <c r="A123" s="3">
        <v>44386</v>
      </c>
      <c r="B123" s="1">
        <v>0</v>
      </c>
      <c r="C123" s="1">
        <v>320.08409999999998</v>
      </c>
      <c r="D123" s="1"/>
    </row>
    <row r="124" spans="1:4">
      <c r="A124" s="3">
        <v>44417</v>
      </c>
      <c r="B124" s="1">
        <v>0</v>
      </c>
      <c r="C124" s="1">
        <v>372.09160000000003</v>
      </c>
      <c r="D124" s="1"/>
    </row>
    <row r="125" spans="1:4">
      <c r="A125" s="3">
        <v>44448</v>
      </c>
      <c r="B125" s="1">
        <v>1224.8033</v>
      </c>
      <c r="C125" s="1">
        <v>0</v>
      </c>
      <c r="D125" s="1"/>
    </row>
    <row r="126" spans="1:4">
      <c r="A126" s="3">
        <v>44452</v>
      </c>
      <c r="B126" s="1">
        <v>0</v>
      </c>
      <c r="C126" s="1">
        <v>238.02590000000001</v>
      </c>
      <c r="D126" s="1"/>
    </row>
    <row r="127" spans="1:4">
      <c r="A127" s="3">
        <v>44453</v>
      </c>
      <c r="B127" s="1">
        <v>1023.4351</v>
      </c>
      <c r="C127" s="1">
        <v>0</v>
      </c>
      <c r="D127" s="1"/>
    </row>
    <row r="128" spans="1:4">
      <c r="A128" s="3">
        <v>44454</v>
      </c>
      <c r="B128" s="1">
        <v>0</v>
      </c>
      <c r="C128" s="1">
        <v>28.844200000000001</v>
      </c>
      <c r="D128" s="1"/>
    </row>
    <row r="129" spans="1:4">
      <c r="A129" s="3">
        <v>44455</v>
      </c>
      <c r="B129" s="1">
        <v>0</v>
      </c>
      <c r="C129" s="1">
        <v>566.89880000000005</v>
      </c>
      <c r="D129" s="1"/>
    </row>
    <row r="130" spans="1:4">
      <c r="A130" s="3">
        <v>44456</v>
      </c>
      <c r="B130" s="1">
        <v>2575.4983000000002</v>
      </c>
      <c r="C130" s="1">
        <v>0</v>
      </c>
      <c r="D130" s="1"/>
    </row>
    <row r="131" spans="1:4">
      <c r="A131" s="3">
        <v>44459</v>
      </c>
      <c r="B131" s="1">
        <v>0</v>
      </c>
      <c r="C131" s="1">
        <v>100.9439</v>
      </c>
      <c r="D131" s="1"/>
    </row>
    <row r="132" spans="1:4">
      <c r="A132" s="3">
        <v>44460</v>
      </c>
      <c r="B132" s="1">
        <v>0</v>
      </c>
      <c r="C132" s="1">
        <v>338.98450000000003</v>
      </c>
      <c r="D132" s="1"/>
    </row>
    <row r="133" spans="1:4">
      <c r="A133" s="3">
        <v>44461</v>
      </c>
      <c r="B133" s="1">
        <v>3544.7375999999999</v>
      </c>
      <c r="C133" s="1">
        <v>0</v>
      </c>
      <c r="D133" s="1"/>
    </row>
    <row r="134" spans="1:4">
      <c r="A134" s="3">
        <v>44462</v>
      </c>
      <c r="B134" s="1">
        <v>1133.3782000000001</v>
      </c>
      <c r="C134" s="1">
        <v>0</v>
      </c>
      <c r="D134" s="1"/>
    </row>
    <row r="135" spans="1:4">
      <c r="A135" s="3">
        <v>44463</v>
      </c>
      <c r="B135" s="1">
        <v>0</v>
      </c>
      <c r="C135" s="1">
        <v>198.35480000000001</v>
      </c>
      <c r="D135" s="1"/>
    </row>
    <row r="136" spans="1:4">
      <c r="A136" s="3">
        <v>44467</v>
      </c>
      <c r="B136" s="1">
        <v>0</v>
      </c>
      <c r="C136" s="1">
        <v>196.791</v>
      </c>
      <c r="D136" s="1"/>
    </row>
    <row r="137" spans="1:4">
      <c r="A137" s="3">
        <v>44468</v>
      </c>
      <c r="B137" s="1">
        <v>0</v>
      </c>
      <c r="C137" s="1">
        <v>567.08140000000003</v>
      </c>
      <c r="D137" s="1"/>
    </row>
    <row r="138" spans="1:4">
      <c r="A138" s="1" t="s">
        <v>8</v>
      </c>
      <c r="B138" s="1">
        <v>296.76429999999999</v>
      </c>
      <c r="C138" s="1">
        <v>0</v>
      </c>
      <c r="D138" s="1"/>
    </row>
    <row r="139" spans="1:4">
      <c r="A139" s="3">
        <v>44206</v>
      </c>
      <c r="B139" s="1">
        <v>0</v>
      </c>
      <c r="C139" s="1">
        <v>554.44830000000002</v>
      </c>
      <c r="D139" s="1"/>
    </row>
    <row r="140" spans="1:4">
      <c r="A140" s="3">
        <v>44296</v>
      </c>
      <c r="B140" s="1">
        <v>0</v>
      </c>
      <c r="C140" s="1">
        <v>222.029</v>
      </c>
      <c r="D140" s="1"/>
    </row>
    <row r="141" spans="1:4">
      <c r="A141" s="3">
        <v>44326</v>
      </c>
      <c r="B141" s="1">
        <v>0</v>
      </c>
      <c r="C141" s="1">
        <v>276.30279999999999</v>
      </c>
      <c r="D141" s="1"/>
    </row>
    <row r="142" spans="1:4">
      <c r="A142" s="3">
        <v>44357</v>
      </c>
      <c r="B142" s="1">
        <v>4097.2273999999998</v>
      </c>
      <c r="C142" s="1">
        <v>0</v>
      </c>
      <c r="D142" s="1"/>
    </row>
    <row r="143" spans="1:4">
      <c r="A143" s="3">
        <v>44387</v>
      </c>
      <c r="B143" s="1">
        <v>2657.0421999999999</v>
      </c>
      <c r="C143" s="1">
        <v>0</v>
      </c>
      <c r="D143" s="1"/>
    </row>
    <row r="144" spans="1:4">
      <c r="A144" s="3">
        <v>44418</v>
      </c>
      <c r="B144" s="1">
        <v>1491.8308999999999</v>
      </c>
      <c r="C144" s="1">
        <v>0</v>
      </c>
      <c r="D144" s="1"/>
    </row>
    <row r="145" spans="1:4">
      <c r="A145" s="3">
        <v>44510</v>
      </c>
      <c r="B145" s="1">
        <v>0</v>
      </c>
      <c r="C145" s="1">
        <v>96.519900000000007</v>
      </c>
      <c r="D145" s="1"/>
    </row>
    <row r="146" spans="1:4">
      <c r="A146" s="3">
        <v>44481</v>
      </c>
      <c r="B146" s="1">
        <v>1268.9544000000001</v>
      </c>
      <c r="C146" s="1">
        <v>0</v>
      </c>
      <c r="D146" s="1"/>
    </row>
    <row r="147" spans="1:4">
      <c r="A147" s="3">
        <v>44482</v>
      </c>
      <c r="B147" s="1">
        <v>2530.5185999999999</v>
      </c>
      <c r="C147" s="1">
        <v>0</v>
      </c>
      <c r="D147" s="1"/>
    </row>
    <row r="148" spans="1:4">
      <c r="A148" s="3">
        <v>44483</v>
      </c>
      <c r="B148" s="1">
        <v>2488.9416999999999</v>
      </c>
      <c r="C148" s="1">
        <v>0</v>
      </c>
      <c r="D148" s="1"/>
    </row>
    <row r="149" spans="1:4">
      <c r="A149" s="3">
        <v>44487</v>
      </c>
      <c r="B149" s="1">
        <v>0</v>
      </c>
      <c r="C149" s="1">
        <v>821.89919999999995</v>
      </c>
      <c r="D149" s="1"/>
    </row>
    <row r="150" spans="1:4">
      <c r="A150" s="3">
        <v>44488</v>
      </c>
      <c r="B150" s="1">
        <v>1585.9612</v>
      </c>
      <c r="C150" s="1">
        <v>0</v>
      </c>
      <c r="D150" s="1"/>
    </row>
    <row r="151" spans="1:4">
      <c r="A151" s="3">
        <v>44489</v>
      </c>
      <c r="B151" s="1">
        <v>4511.7849999999999</v>
      </c>
      <c r="C151" s="1">
        <v>0</v>
      </c>
      <c r="D151" s="1"/>
    </row>
    <row r="152" spans="1:4">
      <c r="A152" s="3">
        <v>44490</v>
      </c>
      <c r="B152" s="1">
        <v>0</v>
      </c>
      <c r="C152" s="1">
        <v>685.44759999999997</v>
      </c>
      <c r="D152" s="1"/>
    </row>
    <row r="153" spans="1:4">
      <c r="A153" s="3">
        <v>44491</v>
      </c>
      <c r="B153" s="1">
        <v>575.14250000000004</v>
      </c>
      <c r="C153" s="1">
        <v>0</v>
      </c>
      <c r="D153" s="1"/>
    </row>
    <row r="154" spans="1:4">
      <c r="A154" s="3">
        <v>44494</v>
      </c>
      <c r="B154" s="1">
        <v>469.99790000000002</v>
      </c>
      <c r="C154" s="1">
        <v>0</v>
      </c>
      <c r="D154" s="1"/>
    </row>
    <row r="155" spans="1:4">
      <c r="A155" s="3">
        <v>44495</v>
      </c>
      <c r="B155" s="1">
        <v>2635.3631999999998</v>
      </c>
      <c r="C155" s="1">
        <v>0</v>
      </c>
      <c r="D155" s="1"/>
    </row>
    <row r="156" spans="1:4">
      <c r="A156" s="3">
        <v>44496</v>
      </c>
      <c r="B156" s="1">
        <v>0</v>
      </c>
      <c r="C156" s="1">
        <v>23.957899999999999</v>
      </c>
      <c r="D156" s="1"/>
    </row>
    <row r="157" spans="1:4">
      <c r="A157" s="3">
        <v>44497</v>
      </c>
      <c r="B157" s="1">
        <v>0</v>
      </c>
      <c r="C157" s="1">
        <v>401.8125</v>
      </c>
      <c r="D157" s="1"/>
    </row>
    <row r="158" spans="1:4">
      <c r="A158" s="1" t="s">
        <v>9</v>
      </c>
      <c r="B158" s="1">
        <v>640.73109999999997</v>
      </c>
      <c r="C158" s="1">
        <v>0</v>
      </c>
      <c r="D158" s="1"/>
    </row>
    <row r="159" spans="1:4">
      <c r="A159" s="3">
        <v>44207</v>
      </c>
      <c r="B159" s="1">
        <v>277.99470000000002</v>
      </c>
      <c r="C159" s="1">
        <v>0</v>
      </c>
      <c r="D159" s="1"/>
    </row>
    <row r="160" spans="1:4">
      <c r="A160" s="3">
        <v>44238</v>
      </c>
      <c r="B160" s="1">
        <v>0</v>
      </c>
      <c r="C160" s="1">
        <v>199.41970000000001</v>
      </c>
      <c r="D160" s="1"/>
    </row>
    <row r="161" spans="1:4">
      <c r="A161" s="3">
        <v>44266</v>
      </c>
      <c r="B161" s="1">
        <v>0</v>
      </c>
      <c r="C161" s="1">
        <v>777.17269999999996</v>
      </c>
      <c r="D161" s="1"/>
    </row>
    <row r="162" spans="1:4">
      <c r="A162" s="3">
        <v>44480</v>
      </c>
      <c r="B162" s="1">
        <v>2473.7190000000001</v>
      </c>
      <c r="C162" s="1">
        <v>0</v>
      </c>
      <c r="D162" s="1"/>
    </row>
    <row r="163" spans="1:4">
      <c r="A163" s="3">
        <v>44511</v>
      </c>
      <c r="B163" s="1">
        <v>0</v>
      </c>
      <c r="C163" s="1">
        <v>3482.3364999999999</v>
      </c>
      <c r="D163" s="1"/>
    </row>
    <row r="164" spans="1:4">
      <c r="A164" s="3">
        <v>44515</v>
      </c>
      <c r="B164" s="1">
        <v>160.80279999999999</v>
      </c>
      <c r="C164" s="1">
        <v>0</v>
      </c>
      <c r="D164" s="1"/>
    </row>
    <row r="165" spans="1:4">
      <c r="A165" s="3">
        <v>44516</v>
      </c>
      <c r="B165" s="1">
        <v>561.05870000000004</v>
      </c>
      <c r="C165" s="1">
        <v>0</v>
      </c>
      <c r="D165" s="1"/>
    </row>
    <row r="166" spans="1:4">
      <c r="A166" s="3">
        <v>44517</v>
      </c>
      <c r="B166" s="1">
        <v>2073.4684999999999</v>
      </c>
      <c r="C166" s="1">
        <v>0</v>
      </c>
      <c r="D166" s="1"/>
    </row>
    <row r="167" spans="1:4">
      <c r="A167" s="3">
        <v>44518</v>
      </c>
      <c r="B167" s="1">
        <v>477.7978</v>
      </c>
      <c r="C167" s="1">
        <v>0</v>
      </c>
      <c r="D167" s="1"/>
    </row>
    <row r="168" spans="1:4">
      <c r="A168" s="3">
        <v>44522</v>
      </c>
      <c r="B168" s="1">
        <v>0</v>
      </c>
      <c r="C168" s="1">
        <v>199.8065</v>
      </c>
      <c r="D168" s="1"/>
    </row>
    <row r="169" spans="1:4">
      <c r="A169" s="3">
        <v>44523</v>
      </c>
      <c r="B169" s="1">
        <v>1010.9866</v>
      </c>
      <c r="C169" s="1">
        <v>0</v>
      </c>
      <c r="D169" s="1"/>
    </row>
    <row r="170" spans="1:4">
      <c r="A170" s="3">
        <v>44524</v>
      </c>
      <c r="B170" s="1">
        <v>1881.4873</v>
      </c>
      <c r="C170" s="1">
        <v>0</v>
      </c>
      <c r="D170" s="1"/>
    </row>
    <row r="171" spans="1:4">
      <c r="A171" s="3">
        <v>44525</v>
      </c>
      <c r="B171" s="1">
        <v>2333.4908999999998</v>
      </c>
      <c r="C171" s="1">
        <v>0</v>
      </c>
      <c r="D171" s="1"/>
    </row>
    <row r="172" spans="1:4">
      <c r="A172" s="3">
        <v>44526</v>
      </c>
      <c r="B172" s="1">
        <v>0</v>
      </c>
      <c r="C172" s="1">
        <v>446.72840000000002</v>
      </c>
      <c r="D172" s="1"/>
    </row>
    <row r="173" spans="1:4">
      <c r="A173" s="3">
        <v>44529</v>
      </c>
      <c r="B173" s="1">
        <v>23.477900000000002</v>
      </c>
      <c r="C173" s="1">
        <v>0</v>
      </c>
      <c r="D173" s="1"/>
    </row>
    <row r="174" spans="1:4">
      <c r="A174" s="1" t="s">
        <v>10</v>
      </c>
      <c r="B174" s="1">
        <v>0</v>
      </c>
      <c r="C174" s="1">
        <v>443.22280000000001</v>
      </c>
      <c r="D174" s="1"/>
    </row>
    <row r="175" spans="1:4">
      <c r="A175" s="3">
        <v>44208</v>
      </c>
      <c r="B175" s="1">
        <v>0</v>
      </c>
      <c r="C175" s="1">
        <v>702.75930000000005</v>
      </c>
      <c r="D175" s="1"/>
    </row>
    <row r="176" spans="1:4">
      <c r="A176" s="3">
        <v>44239</v>
      </c>
      <c r="B176" s="1">
        <v>0</v>
      </c>
      <c r="C176" s="1">
        <v>692.75300000000004</v>
      </c>
      <c r="D176" s="1"/>
    </row>
    <row r="177" spans="1:4">
      <c r="A177" s="3">
        <v>44267</v>
      </c>
      <c r="B177" s="1">
        <v>1518.3425</v>
      </c>
      <c r="C177" s="1">
        <v>0</v>
      </c>
      <c r="D177" s="1"/>
    </row>
    <row r="178" spans="1:4">
      <c r="A178" s="3">
        <v>44359</v>
      </c>
      <c r="B178" s="1">
        <v>0</v>
      </c>
      <c r="C178" s="1">
        <v>112.11669999999999</v>
      </c>
      <c r="D178" s="1"/>
    </row>
    <row r="179" spans="1:4">
      <c r="A179" s="3">
        <v>44389</v>
      </c>
      <c r="B179" s="1">
        <v>0</v>
      </c>
      <c r="C179" s="1">
        <v>647.21780000000001</v>
      </c>
      <c r="D179" s="1"/>
    </row>
    <row r="180" spans="1:4">
      <c r="A180" s="3">
        <v>44420</v>
      </c>
      <c r="B180" s="1">
        <v>0</v>
      </c>
      <c r="C180" s="1">
        <v>822.53189999999995</v>
      </c>
      <c r="D180" s="1"/>
    </row>
    <row r="181" spans="1:4">
      <c r="A181" s="3">
        <v>44451</v>
      </c>
      <c r="B181" s="1">
        <v>3099.5572000000002</v>
      </c>
      <c r="C181" s="1">
        <v>0</v>
      </c>
      <c r="D181" s="1"/>
    </row>
    <row r="182" spans="1:4">
      <c r="A182" s="3">
        <v>44540</v>
      </c>
      <c r="B182" s="1">
        <v>754.2337</v>
      </c>
      <c r="C182" s="1">
        <v>0</v>
      </c>
      <c r="D182" s="1"/>
    </row>
    <row r="183" spans="1:4">
      <c r="A183" s="3">
        <v>44546</v>
      </c>
      <c r="B183" s="1">
        <v>2896.7064999999998</v>
      </c>
      <c r="C183" s="1">
        <v>0</v>
      </c>
      <c r="D183" s="1"/>
    </row>
    <row r="184" spans="1:4">
      <c r="A184" s="3">
        <v>44551</v>
      </c>
      <c r="B184" s="1">
        <v>0</v>
      </c>
      <c r="C184" s="1">
        <v>955.32339999999999</v>
      </c>
      <c r="D184" s="1"/>
    </row>
    <row r="185" spans="1:4">
      <c r="A185" s="3">
        <v>44552</v>
      </c>
      <c r="B185" s="1">
        <v>0</v>
      </c>
      <c r="C185" s="1">
        <v>1694.1502</v>
      </c>
      <c r="D185" s="1"/>
    </row>
    <row r="186" spans="1:4">
      <c r="A186" s="3">
        <v>44553</v>
      </c>
      <c r="B186" s="1">
        <v>0</v>
      </c>
      <c r="C186" s="1">
        <v>1364.3058000000001</v>
      </c>
      <c r="D186" s="1"/>
    </row>
    <row r="187" spans="1:4">
      <c r="A187" s="3">
        <v>44554</v>
      </c>
      <c r="B187" s="1">
        <v>0</v>
      </c>
      <c r="C187" s="1">
        <v>639.60440000000006</v>
      </c>
      <c r="D187" s="1"/>
    </row>
    <row r="188" spans="1:4">
      <c r="A188" s="3">
        <v>44557</v>
      </c>
      <c r="B188" s="1">
        <v>0</v>
      </c>
      <c r="C188" s="1">
        <v>681.6087</v>
      </c>
      <c r="D188" s="1"/>
    </row>
    <row r="189" spans="1:4">
      <c r="A189" s="3">
        <v>44558</v>
      </c>
      <c r="B189" s="1">
        <v>0</v>
      </c>
      <c r="C189" s="1">
        <v>1511.4982</v>
      </c>
      <c r="D189" s="1"/>
    </row>
    <row r="190" spans="1:4">
      <c r="A190" s="3">
        <v>44559</v>
      </c>
      <c r="B190" s="1">
        <v>5000.4339</v>
      </c>
      <c r="C190" s="1">
        <v>0</v>
      </c>
      <c r="D190" s="1"/>
    </row>
    <row r="191" spans="1:4">
      <c r="A191" s="3">
        <v>44560</v>
      </c>
      <c r="B191" s="1">
        <v>0</v>
      </c>
      <c r="C191" s="1">
        <v>1082.0514000000001</v>
      </c>
      <c r="D191" s="1"/>
    </row>
    <row r="192" spans="1:4">
      <c r="A192" s="1" t="s">
        <v>11</v>
      </c>
      <c r="B192" s="1">
        <v>4044.8580000000002</v>
      </c>
      <c r="C192" s="1">
        <v>0</v>
      </c>
      <c r="D192" s="1"/>
    </row>
    <row r="193" spans="1:4">
      <c r="A193" s="3">
        <v>44621</v>
      </c>
      <c r="B193" s="1">
        <v>0</v>
      </c>
      <c r="C193" s="1">
        <v>433.17579999999998</v>
      </c>
      <c r="D193" s="1"/>
    </row>
    <row r="194" spans="1:4">
      <c r="A194" s="3">
        <v>44652</v>
      </c>
      <c r="B194" s="1">
        <v>0</v>
      </c>
      <c r="C194" s="1">
        <v>547.17840000000001</v>
      </c>
      <c r="D194" s="1"/>
    </row>
    <row r="195" spans="1:4">
      <c r="A195" s="3">
        <v>44682</v>
      </c>
      <c r="B195" s="1">
        <v>0</v>
      </c>
      <c r="C195" s="1">
        <v>304.65309999999999</v>
      </c>
      <c r="D195" s="1"/>
    </row>
    <row r="196" spans="1:4">
      <c r="A196" s="3">
        <v>44713</v>
      </c>
      <c r="B196" s="1">
        <v>0</v>
      </c>
      <c r="C196" s="1">
        <v>967.73469999999998</v>
      </c>
      <c r="D196" s="1"/>
    </row>
    <row r="197" spans="1:4">
      <c r="A197" s="3">
        <v>44743</v>
      </c>
      <c r="B197" s="1">
        <v>0</v>
      </c>
      <c r="C197" s="1">
        <v>1157.0762999999999</v>
      </c>
      <c r="D197" s="1"/>
    </row>
    <row r="198" spans="1:4">
      <c r="A198" s="3">
        <v>44835</v>
      </c>
      <c r="B198" s="1">
        <v>0</v>
      </c>
      <c r="C198" s="1">
        <v>884.00310000000002</v>
      </c>
      <c r="D198" s="1"/>
    </row>
    <row r="199" spans="1:4">
      <c r="A199" s="3">
        <v>44866</v>
      </c>
      <c r="B199" s="1">
        <v>0</v>
      </c>
      <c r="C199" s="1">
        <v>342.34030000000001</v>
      </c>
      <c r="D199" s="1"/>
    </row>
    <row r="200" spans="1:4">
      <c r="A200" s="3">
        <v>44573</v>
      </c>
      <c r="B200" s="1">
        <v>648.26110000000006</v>
      </c>
      <c r="C200" s="1">
        <v>0</v>
      </c>
      <c r="D200" s="1"/>
    </row>
    <row r="201" spans="1:4">
      <c r="A201" s="3">
        <v>44574</v>
      </c>
      <c r="B201" s="1">
        <v>1137.2589</v>
      </c>
      <c r="C201" s="1">
        <v>0</v>
      </c>
      <c r="D201" s="1"/>
    </row>
    <row r="202" spans="1:4">
      <c r="A202" s="3">
        <v>44575</v>
      </c>
      <c r="B202" s="1">
        <v>3815.3379</v>
      </c>
      <c r="C202" s="1">
        <v>0</v>
      </c>
      <c r="D202" s="1"/>
    </row>
    <row r="203" spans="1:4">
      <c r="A203" s="3">
        <v>44578</v>
      </c>
      <c r="B203" s="1">
        <v>1561.5246</v>
      </c>
      <c r="C203" s="1">
        <v>0</v>
      </c>
      <c r="D203" s="1"/>
    </row>
    <row r="204" spans="1:4">
      <c r="A204" s="3">
        <v>44579</v>
      </c>
      <c r="B204" s="1">
        <v>1741.4448</v>
      </c>
      <c r="C204" s="1">
        <v>0</v>
      </c>
      <c r="D204" s="1"/>
    </row>
    <row r="205" spans="1:4">
      <c r="A205" s="3">
        <v>44580</v>
      </c>
      <c r="B205" s="1">
        <v>1768.2734</v>
      </c>
      <c r="C205" s="1">
        <v>0</v>
      </c>
      <c r="D205" s="1"/>
    </row>
    <row r="206" spans="1:4">
      <c r="A206" s="3">
        <v>44581</v>
      </c>
      <c r="B206" s="1">
        <v>0</v>
      </c>
      <c r="C206" s="1">
        <v>4253.6696000000002</v>
      </c>
      <c r="D206" s="1"/>
    </row>
    <row r="207" spans="1:4">
      <c r="A207" s="3">
        <v>44582</v>
      </c>
      <c r="B207" s="1">
        <v>0</v>
      </c>
      <c r="C207" s="1">
        <v>1476.2123999999999</v>
      </c>
      <c r="D207" s="1"/>
    </row>
    <row r="208" spans="1:4">
      <c r="A208" s="3">
        <v>44585</v>
      </c>
      <c r="B208" s="1">
        <v>1017.7033</v>
      </c>
      <c r="C208" s="1">
        <v>0</v>
      </c>
      <c r="D208" s="1"/>
    </row>
    <row r="209" spans="1:4">
      <c r="A209" s="3">
        <v>44586</v>
      </c>
      <c r="B209" s="1">
        <v>1531.3187</v>
      </c>
      <c r="C209" s="1">
        <v>0</v>
      </c>
      <c r="D209" s="1"/>
    </row>
    <row r="210" spans="1:4">
      <c r="A210" s="3">
        <v>44588</v>
      </c>
      <c r="B210" s="1">
        <v>0</v>
      </c>
      <c r="C210" s="1">
        <v>1564.4703</v>
      </c>
      <c r="D210" s="1"/>
    </row>
    <row r="211" spans="1:4">
      <c r="A211" s="3">
        <v>44589</v>
      </c>
      <c r="B211" s="1">
        <v>5352.5</v>
      </c>
      <c r="C211" s="1">
        <v>0</v>
      </c>
      <c r="D211" s="1"/>
    </row>
    <row r="212" spans="1:4">
      <c r="A212" s="1" t="s">
        <v>12</v>
      </c>
      <c r="B212" s="1">
        <v>0</v>
      </c>
      <c r="C212" s="1">
        <v>1719.2184</v>
      </c>
      <c r="D212" s="1"/>
    </row>
    <row r="213" spans="1:4">
      <c r="A213" s="3">
        <v>44563</v>
      </c>
      <c r="B213" s="1">
        <v>13812.6792</v>
      </c>
      <c r="C213" s="1">
        <v>0</v>
      </c>
      <c r="D213" s="1"/>
    </row>
    <row r="214" spans="1:4">
      <c r="A214" s="3">
        <v>44594</v>
      </c>
      <c r="B214" s="1">
        <v>9251.2453999999998</v>
      </c>
      <c r="C214" s="1">
        <v>0</v>
      </c>
      <c r="D214" s="1"/>
    </row>
    <row r="215" spans="1:4">
      <c r="A215" s="3">
        <v>44622</v>
      </c>
      <c r="B215" s="1">
        <v>0</v>
      </c>
      <c r="C215" s="1">
        <v>902.95590000000004</v>
      </c>
      <c r="D215" s="1"/>
    </row>
    <row r="216" spans="1:4">
      <c r="A216" s="3">
        <v>44653</v>
      </c>
      <c r="B216" s="1">
        <v>0</v>
      </c>
      <c r="C216" s="1">
        <v>1738.518</v>
      </c>
      <c r="D216" s="1"/>
    </row>
    <row r="217" spans="1:4">
      <c r="A217" s="3">
        <v>44775</v>
      </c>
      <c r="B217" s="1">
        <v>0</v>
      </c>
      <c r="C217" s="1">
        <v>1437.4644000000001</v>
      </c>
      <c r="D217" s="1"/>
    </row>
    <row r="218" spans="1:4">
      <c r="A218" s="3">
        <v>44806</v>
      </c>
      <c r="B218" s="1">
        <v>3727.6842999999999</v>
      </c>
      <c r="C218" s="1">
        <v>0</v>
      </c>
      <c r="D218" s="1"/>
    </row>
    <row r="219" spans="1:4">
      <c r="A219" s="3">
        <v>44836</v>
      </c>
      <c r="B219" s="1">
        <v>5360.5481</v>
      </c>
      <c r="C219" s="1">
        <v>0</v>
      </c>
      <c r="D219" s="1"/>
    </row>
    <row r="220" spans="1:4">
      <c r="A220" s="3">
        <v>44603</v>
      </c>
      <c r="B220" s="1">
        <v>0</v>
      </c>
      <c r="C220" s="1">
        <v>170.26750000000001</v>
      </c>
      <c r="D220" s="1"/>
    </row>
    <row r="221" spans="1:4">
      <c r="A221" s="3">
        <v>44606</v>
      </c>
      <c r="B221" s="1">
        <v>0</v>
      </c>
      <c r="C221" s="1">
        <v>265.85000000000002</v>
      </c>
      <c r="D221" s="1"/>
    </row>
    <row r="222" spans="1:4">
      <c r="A222" s="3">
        <v>44607</v>
      </c>
      <c r="B222" s="1">
        <v>0</v>
      </c>
      <c r="C222" s="1">
        <v>57.7239</v>
      </c>
      <c r="D222" s="1"/>
    </row>
    <row r="223" spans="1:4">
      <c r="A223" s="3">
        <v>44608</v>
      </c>
      <c r="B223" s="1">
        <v>0</v>
      </c>
      <c r="C223" s="1">
        <v>361.77710000000002</v>
      </c>
      <c r="D223" s="1"/>
    </row>
    <row r="224" spans="1:4">
      <c r="A224" s="3">
        <v>44609</v>
      </c>
      <c r="B224" s="1">
        <v>0</v>
      </c>
      <c r="C224" s="1">
        <v>2970.6994</v>
      </c>
      <c r="D224" s="1"/>
    </row>
    <row r="225" spans="1:4">
      <c r="A225" s="3">
        <v>44610</v>
      </c>
      <c r="B225" s="1">
        <v>98.096599999999995</v>
      </c>
      <c r="C225" s="1">
        <v>0</v>
      </c>
      <c r="D225" s="1"/>
    </row>
    <row r="226" spans="1:4">
      <c r="A226" s="3">
        <v>44613</v>
      </c>
      <c r="B226" s="1">
        <v>0</v>
      </c>
      <c r="C226" s="1">
        <v>686.99990000000003</v>
      </c>
      <c r="D226" s="1"/>
    </row>
    <row r="227" spans="1:4">
      <c r="A227" s="3">
        <v>44614</v>
      </c>
      <c r="B227" s="1">
        <v>1558.3322000000001</v>
      </c>
      <c r="C227" s="1">
        <v>0</v>
      </c>
      <c r="D227" s="1"/>
    </row>
    <row r="228" spans="1:4">
      <c r="A228" s="3">
        <v>44615</v>
      </c>
      <c r="B228" s="1">
        <v>1278.5001999999999</v>
      </c>
      <c r="C228" s="1">
        <v>0</v>
      </c>
      <c r="D228" s="1"/>
    </row>
    <row r="229" spans="1:4">
      <c r="A229" s="3">
        <v>44616</v>
      </c>
      <c r="B229" s="1">
        <v>0</v>
      </c>
      <c r="C229" s="1">
        <v>853.03769999999997</v>
      </c>
      <c r="D229" s="1"/>
    </row>
    <row r="230" spans="1:4">
      <c r="A230" s="3">
        <v>44617</v>
      </c>
      <c r="B230" s="1">
        <v>0</v>
      </c>
      <c r="C230" s="1">
        <v>550.80859999999996</v>
      </c>
      <c r="D230" s="1"/>
    </row>
    <row r="231" spans="1:4">
      <c r="A231" s="1" t="s">
        <v>13</v>
      </c>
      <c r="B231" s="1">
        <v>670.1943</v>
      </c>
      <c r="C231" s="1">
        <v>0</v>
      </c>
      <c r="D231" s="1"/>
    </row>
    <row r="232" spans="1:4">
      <c r="A232" s="3">
        <v>44595</v>
      </c>
      <c r="B232" s="1">
        <v>1462.7159999999999</v>
      </c>
      <c r="C232" s="1">
        <v>0</v>
      </c>
      <c r="D232" s="1"/>
    </row>
    <row r="233" spans="1:4">
      <c r="A233" s="3">
        <v>44623</v>
      </c>
      <c r="B233" s="1">
        <v>1727.3117</v>
      </c>
      <c r="C233" s="1">
        <v>0</v>
      </c>
      <c r="D233" s="1"/>
    </row>
    <row r="234" spans="1:4">
      <c r="A234" s="3">
        <v>44654</v>
      </c>
      <c r="B234" s="1">
        <v>0</v>
      </c>
      <c r="C234" s="1">
        <v>188.37029999999999</v>
      </c>
      <c r="D234" s="1"/>
    </row>
    <row r="235" spans="1:4">
      <c r="A235" s="3">
        <v>44745</v>
      </c>
      <c r="B235" s="1">
        <v>0</v>
      </c>
      <c r="C235" s="1">
        <v>402.9203</v>
      </c>
      <c r="D235" s="1"/>
    </row>
    <row r="236" spans="1:4">
      <c r="A236" s="3">
        <v>44776</v>
      </c>
      <c r="B236" s="1">
        <v>404.93709999999999</v>
      </c>
      <c r="C236" s="1">
        <v>0</v>
      </c>
      <c r="D236" s="1"/>
    </row>
    <row r="237" spans="1:4">
      <c r="A237" s="3">
        <v>44807</v>
      </c>
      <c r="B237" s="1">
        <v>3391.895</v>
      </c>
      <c r="C237" s="1">
        <v>0</v>
      </c>
      <c r="D237" s="1"/>
    </row>
    <row r="238" spans="1:4">
      <c r="A238" s="3">
        <v>44837</v>
      </c>
      <c r="B238" s="1">
        <v>10.0046</v>
      </c>
      <c r="C238" s="1">
        <v>0</v>
      </c>
      <c r="D238" s="1"/>
    </row>
    <row r="239" spans="1:4">
      <c r="A239" s="3">
        <v>44631</v>
      </c>
      <c r="B239" s="1">
        <v>1893.6337000000001</v>
      </c>
      <c r="C239" s="1">
        <v>0</v>
      </c>
      <c r="D239" s="1"/>
    </row>
    <row r="240" spans="1:4">
      <c r="A240" s="3">
        <v>44634</v>
      </c>
      <c r="B240" s="1">
        <v>0</v>
      </c>
      <c r="C240" s="1">
        <v>206.09350000000001</v>
      </c>
      <c r="D240" s="1"/>
    </row>
    <row r="241" spans="1:4">
      <c r="A241" s="3">
        <v>44635</v>
      </c>
      <c r="B241" s="1">
        <v>183.006</v>
      </c>
      <c r="C241" s="1">
        <v>0</v>
      </c>
      <c r="D241" s="1"/>
    </row>
    <row r="242" spans="1:4">
      <c r="A242" s="3">
        <v>44636</v>
      </c>
      <c r="B242" s="1">
        <v>3635.1502</v>
      </c>
      <c r="C242" s="1">
        <v>0</v>
      </c>
      <c r="D242" s="1"/>
    </row>
    <row r="243" spans="1:4">
      <c r="A243" s="1" t="s">
        <v>14</v>
      </c>
      <c r="B243" s="1">
        <v>1204.9829999999999</v>
      </c>
      <c r="C243" s="1">
        <v>0</v>
      </c>
      <c r="D243" s="1"/>
    </row>
    <row r="244" spans="1:4">
      <c r="A244" s="3">
        <v>44655</v>
      </c>
      <c r="B244" s="1">
        <v>373.26420000000002</v>
      </c>
      <c r="C244" s="1">
        <v>0</v>
      </c>
      <c r="D244" s="1"/>
    </row>
    <row r="245" spans="1:4">
      <c r="A245" s="3">
        <v>44685</v>
      </c>
      <c r="B245" s="1">
        <v>1962.9142999999999</v>
      </c>
      <c r="C245" s="1">
        <v>0</v>
      </c>
      <c r="D245" s="1"/>
    </row>
    <row r="246" spans="1:4">
      <c r="A246" s="3">
        <v>44716</v>
      </c>
      <c r="B246" s="1">
        <v>3123.2293</v>
      </c>
      <c r="C246" s="1">
        <v>0</v>
      </c>
      <c r="D246" s="1"/>
    </row>
    <row r="247" spans="1:4">
      <c r="A247" s="3">
        <v>44746</v>
      </c>
      <c r="B247" s="1">
        <v>0</v>
      </c>
      <c r="C247" s="1">
        <v>184.34460000000001</v>
      </c>
      <c r="D247" s="1"/>
    </row>
    <row r="248" spans="1:4">
      <c r="A248" s="3">
        <v>44777</v>
      </c>
      <c r="B248" s="1">
        <v>495.22519999999997</v>
      </c>
      <c r="C248" s="1">
        <v>0</v>
      </c>
      <c r="D248" s="1"/>
    </row>
    <row r="249" spans="1:4">
      <c r="A249" s="3">
        <v>44869</v>
      </c>
      <c r="B249" s="1">
        <v>383.8467</v>
      </c>
      <c r="C249" s="1">
        <v>0</v>
      </c>
      <c r="D249" s="1"/>
    </row>
    <row r="250" spans="1:4">
      <c r="A250" s="3">
        <v>44663</v>
      </c>
      <c r="B250" s="1">
        <v>0</v>
      </c>
      <c r="C250" s="1">
        <v>195.72620000000001</v>
      </c>
      <c r="D250" s="1"/>
    </row>
    <row r="251" spans="1:4">
      <c r="A251" s="3">
        <v>44664</v>
      </c>
      <c r="B251" s="1">
        <v>3949.8123999999998</v>
      </c>
      <c r="C251" s="1">
        <v>0</v>
      </c>
      <c r="D251" s="1"/>
    </row>
    <row r="252" spans="1:4">
      <c r="A252" s="3">
        <v>44669</v>
      </c>
      <c r="B252" s="1">
        <v>111.5813</v>
      </c>
      <c r="C252" s="1">
        <v>0</v>
      </c>
      <c r="D252" s="1"/>
    </row>
    <row r="253" spans="1:4">
      <c r="A253" s="3">
        <v>44670</v>
      </c>
      <c r="B253" s="1">
        <v>0</v>
      </c>
      <c r="C253" s="1">
        <v>531.08699999999999</v>
      </c>
      <c r="D253" s="1"/>
    </row>
    <row r="254" spans="1:4">
      <c r="A254" s="3">
        <v>44671</v>
      </c>
      <c r="B254" s="1">
        <v>265.88740000000001</v>
      </c>
      <c r="C254" s="1">
        <v>0</v>
      </c>
      <c r="D254" s="1"/>
    </row>
    <row r="255" spans="1:4">
      <c r="A255" s="3">
        <v>44672</v>
      </c>
      <c r="B255" s="1">
        <v>0</v>
      </c>
      <c r="C255" s="1">
        <v>623.51940000000002</v>
      </c>
      <c r="D255" s="1"/>
    </row>
    <row r="256" spans="1:4">
      <c r="A256" s="3">
        <v>44673</v>
      </c>
      <c r="B256" s="1">
        <v>0</v>
      </c>
      <c r="C256" s="1">
        <v>327.38290000000001</v>
      </c>
      <c r="D256" s="1"/>
    </row>
    <row r="257" spans="1:4">
      <c r="A257" s="3">
        <v>44676</v>
      </c>
      <c r="B257" s="1">
        <v>3913.9252000000001</v>
      </c>
      <c r="C257" s="1">
        <v>0</v>
      </c>
      <c r="D257" s="1"/>
    </row>
    <row r="258" spans="1:4">
      <c r="A258" s="3">
        <v>44677</v>
      </c>
      <c r="B258" s="1">
        <v>0</v>
      </c>
      <c r="C258" s="1">
        <v>648.40160000000003</v>
      </c>
      <c r="D258" s="1"/>
    </row>
    <row r="259" spans="1:4">
      <c r="A259" s="3">
        <v>44678</v>
      </c>
      <c r="B259" s="1">
        <v>0</v>
      </c>
      <c r="C259" s="1">
        <v>372.29790000000003</v>
      </c>
      <c r="D259" s="1"/>
    </row>
    <row r="260" spans="1:4">
      <c r="A260" s="3">
        <v>44679</v>
      </c>
      <c r="B260" s="1">
        <v>0</v>
      </c>
      <c r="C260" s="1">
        <v>451.22300000000001</v>
      </c>
      <c r="D260" s="1"/>
    </row>
    <row r="261" spans="1:4">
      <c r="A261" s="1" t="s">
        <v>15</v>
      </c>
      <c r="B261" s="1">
        <v>0</v>
      </c>
      <c r="C261" s="1">
        <v>171.64400000000001</v>
      </c>
      <c r="D261" s="1"/>
    </row>
    <row r="262" spans="1:4">
      <c r="A262" s="3">
        <v>44597</v>
      </c>
      <c r="B262" s="1">
        <v>0</v>
      </c>
      <c r="C262" s="1">
        <v>716.24289999999996</v>
      </c>
      <c r="D262" s="1"/>
    </row>
    <row r="263" spans="1:4">
      <c r="A263" s="3">
        <v>44656</v>
      </c>
      <c r="B263" s="1">
        <v>0</v>
      </c>
      <c r="C263" s="1">
        <v>1962.3703</v>
      </c>
      <c r="D263" s="1"/>
    </row>
    <row r="264" spans="1:4">
      <c r="A264" s="3">
        <v>44686</v>
      </c>
      <c r="B264" s="1">
        <v>0</v>
      </c>
      <c r="C264" s="1">
        <v>3380.1514000000002</v>
      </c>
      <c r="D264" s="1"/>
    </row>
    <row r="265" spans="1:4">
      <c r="A265" s="3">
        <v>44717</v>
      </c>
      <c r="B265" s="1">
        <v>0</v>
      </c>
      <c r="C265" s="1">
        <v>916.61869999999999</v>
      </c>
      <c r="D265" s="1"/>
    </row>
    <row r="266" spans="1:4">
      <c r="A266" s="3">
        <v>44809</v>
      </c>
      <c r="B266" s="1">
        <v>9721.2654999999995</v>
      </c>
      <c r="C266" s="1">
        <v>0</v>
      </c>
      <c r="D266" s="1"/>
    </row>
    <row r="267" spans="1:4">
      <c r="A267" s="3">
        <v>44839</v>
      </c>
      <c r="B267" s="1">
        <v>2907.8444</v>
      </c>
      <c r="C267" s="1">
        <v>0</v>
      </c>
      <c r="D267" s="1"/>
    </row>
    <row r="268" spans="1:4">
      <c r="A268" s="3">
        <v>44870</v>
      </c>
      <c r="B268" s="1">
        <v>0</v>
      </c>
      <c r="C268" s="1">
        <v>1692.4607000000001</v>
      </c>
      <c r="D268" s="1"/>
    </row>
    <row r="269" spans="1:4">
      <c r="A269" s="3">
        <v>44693</v>
      </c>
      <c r="B269" s="1">
        <v>0</v>
      </c>
      <c r="C269" s="1">
        <v>4219.6067999999996</v>
      </c>
      <c r="D269" s="1"/>
    </row>
    <row r="270" spans="1:4">
      <c r="A270" s="3">
        <v>44694</v>
      </c>
      <c r="B270" s="1">
        <v>0</v>
      </c>
      <c r="C270" s="1">
        <v>1952.8606</v>
      </c>
      <c r="D270" s="1"/>
    </row>
    <row r="271" spans="1:4">
      <c r="A271" s="3">
        <v>44697</v>
      </c>
      <c r="B271" s="1">
        <v>0</v>
      </c>
      <c r="C271" s="1">
        <v>384.03809999999999</v>
      </c>
      <c r="D271" s="1"/>
    </row>
    <row r="272" spans="1:4">
      <c r="A272" s="3">
        <v>44698</v>
      </c>
      <c r="B272" s="1">
        <v>0</v>
      </c>
      <c r="C272" s="1">
        <v>1774.9077</v>
      </c>
      <c r="D272" s="1"/>
    </row>
    <row r="273" spans="1:4">
      <c r="A273" s="3">
        <v>44699</v>
      </c>
      <c r="B273" s="1">
        <v>553.65509999999995</v>
      </c>
      <c r="C273" s="1">
        <v>0</v>
      </c>
      <c r="D273" s="1"/>
    </row>
    <row r="274" spans="1:4">
      <c r="A274" s="3">
        <v>44700</v>
      </c>
      <c r="B274" s="1">
        <v>0</v>
      </c>
      <c r="C274" s="1">
        <v>1037.2492</v>
      </c>
      <c r="D274" s="1"/>
    </row>
    <row r="275" spans="1:4">
      <c r="A275" s="3">
        <v>44701</v>
      </c>
      <c r="B275" s="1">
        <v>0</v>
      </c>
      <c r="C275" s="1">
        <v>1595.0138999999999</v>
      </c>
      <c r="D275" s="1"/>
    </row>
    <row r="276" spans="1:4">
      <c r="A276" s="3">
        <v>44704</v>
      </c>
      <c r="B276" s="1">
        <v>0</v>
      </c>
      <c r="C276" s="1">
        <v>2733.2804000000001</v>
      </c>
      <c r="D276" s="1"/>
    </row>
    <row r="277" spans="1:4">
      <c r="A277" s="3">
        <v>44705</v>
      </c>
      <c r="B277" s="1">
        <v>11968.5635</v>
      </c>
      <c r="C277" s="1">
        <v>0</v>
      </c>
      <c r="D277" s="1"/>
    </row>
    <row r="278" spans="1:4">
      <c r="A278" s="3">
        <v>44706</v>
      </c>
      <c r="B278" s="1">
        <v>4711.6288000000004</v>
      </c>
      <c r="C278" s="1">
        <v>0</v>
      </c>
      <c r="D278" s="1"/>
    </row>
    <row r="279" spans="1:4">
      <c r="A279" s="3">
        <v>44707</v>
      </c>
      <c r="B279" s="1">
        <v>7355.4202999999998</v>
      </c>
      <c r="C279" s="1">
        <v>0</v>
      </c>
      <c r="D279" s="1"/>
    </row>
    <row r="280" spans="1:4">
      <c r="A280" s="3">
        <v>44708</v>
      </c>
      <c r="B280" s="1">
        <v>131.47819999999999</v>
      </c>
      <c r="C280" s="1">
        <v>0</v>
      </c>
      <c r="D280" s="1"/>
    </row>
    <row r="281" spans="1:4">
      <c r="A281" s="3">
        <v>44711</v>
      </c>
      <c r="B281" s="1">
        <v>0</v>
      </c>
      <c r="C281" s="1">
        <v>378.31119999999999</v>
      </c>
      <c r="D281" s="1"/>
    </row>
    <row r="282" spans="1:4">
      <c r="A282" s="1" t="s">
        <v>16</v>
      </c>
      <c r="B282" s="1">
        <v>0</v>
      </c>
      <c r="C282" s="1">
        <v>490.7978</v>
      </c>
      <c r="D282" s="1"/>
    </row>
    <row r="283" spans="1:4">
      <c r="A283" s="3">
        <v>44567</v>
      </c>
      <c r="B283" s="1">
        <v>0</v>
      </c>
      <c r="C283" s="1">
        <v>1318.4340999999999</v>
      </c>
      <c r="D283" s="1"/>
    </row>
    <row r="284" spans="1:4">
      <c r="A284" s="3">
        <v>44598</v>
      </c>
      <c r="B284" s="1">
        <v>0</v>
      </c>
      <c r="C284" s="1">
        <v>773.34979999999996</v>
      </c>
      <c r="D284" s="1"/>
    </row>
    <row r="285" spans="1:4">
      <c r="A285" s="3">
        <v>44626</v>
      </c>
      <c r="B285" s="1">
        <v>1248.3561999999999</v>
      </c>
      <c r="C285" s="1">
        <v>0</v>
      </c>
      <c r="D285" s="1"/>
    </row>
    <row r="286" spans="1:4">
      <c r="A286" s="3">
        <v>44718</v>
      </c>
      <c r="B286" s="1">
        <v>67.996200000000002</v>
      </c>
      <c r="C286" s="1">
        <v>0</v>
      </c>
      <c r="D286" s="1"/>
    </row>
    <row r="287" spans="1:4">
      <c r="A287" s="3">
        <v>44748</v>
      </c>
      <c r="B287" s="1">
        <v>584.20180000000005</v>
      </c>
      <c r="C287" s="1">
        <v>0</v>
      </c>
      <c r="D287" s="1"/>
    </row>
    <row r="288" spans="1:4">
      <c r="A288" s="3">
        <v>44779</v>
      </c>
      <c r="B288" s="1">
        <v>0</v>
      </c>
      <c r="C288" s="1">
        <v>1664.5328999999999</v>
      </c>
      <c r="D288" s="1"/>
    </row>
    <row r="289" spans="1:4">
      <c r="A289" s="3">
        <v>44810</v>
      </c>
      <c r="B289" s="1">
        <v>0</v>
      </c>
      <c r="C289" s="1">
        <v>1176.1646000000001</v>
      </c>
      <c r="D289" s="1"/>
    </row>
    <row r="290" spans="1:4">
      <c r="A290" s="3">
        <v>44722</v>
      </c>
      <c r="B290" s="1">
        <v>549.0806</v>
      </c>
      <c r="C290" s="1">
        <v>0</v>
      </c>
      <c r="D290" s="1"/>
    </row>
    <row r="291" spans="1:4">
      <c r="A291" s="3">
        <v>44725</v>
      </c>
      <c r="B291" s="1">
        <v>2587.5934000000002</v>
      </c>
      <c r="C291" s="1">
        <v>0</v>
      </c>
      <c r="D291" s="1"/>
    </row>
    <row r="292" spans="1:4">
      <c r="A292" s="3">
        <v>44726</v>
      </c>
      <c r="B292" s="1">
        <v>0</v>
      </c>
      <c r="C292" s="1">
        <v>1315.8628000000001</v>
      </c>
      <c r="D292" s="1"/>
    </row>
    <row r="293" spans="1:4">
      <c r="A293" s="3">
        <v>44727</v>
      </c>
      <c r="B293" s="1">
        <v>701.1848</v>
      </c>
      <c r="C293" s="1">
        <v>0</v>
      </c>
      <c r="D293" s="1"/>
    </row>
    <row r="294" spans="1:4">
      <c r="A294" s="3">
        <v>44728</v>
      </c>
      <c r="B294" s="1">
        <v>0</v>
      </c>
      <c r="C294" s="1">
        <v>858.68539999999996</v>
      </c>
      <c r="D294" s="1"/>
    </row>
    <row r="295" spans="1:4">
      <c r="A295" s="3">
        <v>44729</v>
      </c>
      <c r="B295" s="1">
        <v>0</v>
      </c>
      <c r="C295" s="1">
        <v>1015.0812</v>
      </c>
      <c r="D295" s="1"/>
    </row>
    <row r="296" spans="1:4">
      <c r="A296" s="3">
        <v>44732</v>
      </c>
      <c r="B296" s="1">
        <v>0</v>
      </c>
      <c r="C296" s="1">
        <v>808.16750000000002</v>
      </c>
      <c r="D296" s="1"/>
    </row>
    <row r="297" spans="1:4">
      <c r="A297" s="3">
        <v>44733</v>
      </c>
      <c r="B297" s="1">
        <v>0</v>
      </c>
      <c r="C297" s="1">
        <v>229.07509999999999</v>
      </c>
      <c r="D297" s="1"/>
    </row>
    <row r="298" spans="1:4">
      <c r="A298" s="3">
        <v>44735</v>
      </c>
      <c r="B298" s="1">
        <v>0</v>
      </c>
      <c r="C298" s="1">
        <v>325.50689999999997</v>
      </c>
      <c r="D298" s="1"/>
    </row>
    <row r="299" spans="1:4">
      <c r="A299" s="3">
        <v>44736</v>
      </c>
      <c r="B299" s="1">
        <v>0</v>
      </c>
      <c r="C299" s="1">
        <v>599.83159999999998</v>
      </c>
      <c r="D299" s="1"/>
    </row>
    <row r="300" spans="1:4">
      <c r="A300" s="3">
        <v>44739</v>
      </c>
      <c r="B300" s="1">
        <v>2902.5830999999998</v>
      </c>
      <c r="C300" s="1">
        <v>0</v>
      </c>
      <c r="D300" s="1"/>
    </row>
    <row r="301" spans="1:4">
      <c r="A301" s="3">
        <v>44740</v>
      </c>
      <c r="B301" s="1">
        <v>0</v>
      </c>
      <c r="C301" s="1">
        <v>328.51139999999998</v>
      </c>
      <c r="D301" s="1"/>
    </row>
    <row r="302" spans="1:4">
      <c r="A302" s="1" t="s">
        <v>17</v>
      </c>
      <c r="B302" s="1">
        <v>0</v>
      </c>
      <c r="C302" s="1">
        <v>5279.4733999999999</v>
      </c>
      <c r="D302" s="1"/>
    </row>
    <row r="303" spans="1:4">
      <c r="A303" s="3">
        <v>44568</v>
      </c>
      <c r="B303" s="1">
        <v>0</v>
      </c>
      <c r="C303" s="1">
        <v>430.72050000000002</v>
      </c>
      <c r="D303" s="1"/>
    </row>
    <row r="304" spans="1:4">
      <c r="A304" s="3">
        <v>44658</v>
      </c>
      <c r="B304" s="1">
        <v>0</v>
      </c>
      <c r="C304" s="1">
        <v>679.2835</v>
      </c>
      <c r="D304" s="1"/>
    </row>
    <row r="305" spans="1:4">
      <c r="A305" s="3">
        <v>44688</v>
      </c>
      <c r="B305" s="1">
        <v>181.42160000000001</v>
      </c>
      <c r="C305" s="1">
        <v>0</v>
      </c>
      <c r="D305" s="1"/>
    </row>
    <row r="306" spans="1:4">
      <c r="A306" s="3">
        <v>44719</v>
      </c>
      <c r="B306" s="1">
        <v>0</v>
      </c>
      <c r="C306" s="1">
        <v>1031.2445</v>
      </c>
      <c r="D306" s="1"/>
    </row>
    <row r="307" spans="1:4">
      <c r="A307" s="3">
        <v>44749</v>
      </c>
      <c r="B307" s="1">
        <v>0</v>
      </c>
      <c r="C307" s="1">
        <v>5746.3375999999998</v>
      </c>
      <c r="D307" s="1"/>
    </row>
    <row r="308" spans="1:4">
      <c r="A308" s="3">
        <v>44780</v>
      </c>
      <c r="B308" s="1">
        <v>0</v>
      </c>
      <c r="C308" s="1">
        <v>1082.883</v>
      </c>
      <c r="D308" s="1"/>
    </row>
    <row r="309" spans="1:4">
      <c r="A309" s="3">
        <v>44872</v>
      </c>
      <c r="B309" s="1">
        <v>0</v>
      </c>
      <c r="C309" s="1">
        <v>219.44560000000001</v>
      </c>
      <c r="D309" s="1"/>
    </row>
    <row r="310" spans="1:4">
      <c r="A310" s="3">
        <v>44754</v>
      </c>
      <c r="B310" s="1">
        <v>1001.4901</v>
      </c>
      <c r="C310" s="1">
        <v>0</v>
      </c>
      <c r="D310" s="1"/>
    </row>
    <row r="311" spans="1:4">
      <c r="A311" s="3">
        <v>44755</v>
      </c>
      <c r="B311" s="1">
        <v>0</v>
      </c>
      <c r="C311" s="1">
        <v>979.38520000000005</v>
      </c>
      <c r="D311" s="1"/>
    </row>
    <row r="312" spans="1:4">
      <c r="A312" s="3">
        <v>44756</v>
      </c>
      <c r="B312" s="1">
        <v>0</v>
      </c>
      <c r="C312" s="1">
        <v>2897.2869999999998</v>
      </c>
      <c r="D312" s="1"/>
    </row>
    <row r="313" spans="1:4">
      <c r="A313" s="3">
        <v>44757</v>
      </c>
      <c r="B313" s="1">
        <v>0</v>
      </c>
      <c r="C313" s="1">
        <v>1322.1039000000001</v>
      </c>
      <c r="D313" s="1"/>
    </row>
    <row r="314" spans="1:4">
      <c r="A314" s="3">
        <v>44760</v>
      </c>
      <c r="B314" s="1">
        <v>4796.3599000000004</v>
      </c>
      <c r="C314" s="1">
        <v>0</v>
      </c>
      <c r="D314" s="1"/>
    </row>
    <row r="315" spans="1:4">
      <c r="A315" s="3">
        <v>44761</v>
      </c>
      <c r="B315" s="1">
        <v>5266.2466999999997</v>
      </c>
      <c r="C315" s="1">
        <v>0</v>
      </c>
      <c r="D315" s="1"/>
    </row>
    <row r="316" spans="1:4">
      <c r="A316" s="3">
        <v>44762</v>
      </c>
      <c r="B316" s="1">
        <v>7640.5645000000004</v>
      </c>
      <c r="C316" s="1">
        <v>0</v>
      </c>
      <c r="D316" s="1"/>
    </row>
    <row r="317" spans="1:4">
      <c r="A317" s="3">
        <v>44763</v>
      </c>
      <c r="B317" s="1">
        <v>5109.6360999999997</v>
      </c>
      <c r="C317" s="1">
        <v>0</v>
      </c>
      <c r="D317" s="1"/>
    </row>
    <row r="318" spans="1:4">
      <c r="A318" s="3">
        <v>44764</v>
      </c>
      <c r="B318" s="1">
        <v>0</v>
      </c>
      <c r="C318" s="1">
        <v>62.146299999999997</v>
      </c>
      <c r="D318" s="1"/>
    </row>
    <row r="319" spans="1:4">
      <c r="A319" s="3">
        <v>44767</v>
      </c>
      <c r="B319" s="1">
        <v>0</v>
      </c>
      <c r="C319" s="1">
        <v>3955.1320999999998</v>
      </c>
      <c r="D319" s="1"/>
    </row>
    <row r="320" spans="1:4">
      <c r="A320" s="3">
        <v>44768</v>
      </c>
      <c r="B320" s="1">
        <v>0</v>
      </c>
      <c r="C320" s="1">
        <v>1839.5543</v>
      </c>
      <c r="D320" s="1"/>
    </row>
    <row r="321" spans="1:4">
      <c r="A321" s="3">
        <v>44769</v>
      </c>
      <c r="B321" s="1">
        <v>0</v>
      </c>
      <c r="C321" s="1">
        <v>2796.8584000000001</v>
      </c>
      <c r="D321" s="1"/>
    </row>
    <row r="322" spans="1:4">
      <c r="A322" s="3">
        <v>44770</v>
      </c>
      <c r="B322" s="1">
        <v>0</v>
      </c>
      <c r="C322" s="1">
        <v>3850.4342000000001</v>
      </c>
      <c r="D322" s="1"/>
    </row>
    <row r="323" spans="1:4">
      <c r="A323" s="1" t="s">
        <v>18</v>
      </c>
      <c r="B323" s="1">
        <v>0</v>
      </c>
      <c r="C323" s="1">
        <v>1559.6859999999999</v>
      </c>
      <c r="D323" s="1"/>
    </row>
    <row r="324" spans="1:4">
      <c r="A324" s="3">
        <v>44569</v>
      </c>
      <c r="B324" s="1">
        <v>0</v>
      </c>
      <c r="C324" s="1">
        <v>1090.0163</v>
      </c>
      <c r="D324" s="1"/>
    </row>
    <row r="325" spans="1:4">
      <c r="A325" s="3">
        <v>44600</v>
      </c>
      <c r="B325" s="1">
        <v>0</v>
      </c>
      <c r="C325" s="1">
        <v>588.85709999999995</v>
      </c>
      <c r="D325" s="1"/>
    </row>
    <row r="326" spans="1:4">
      <c r="A326" s="3">
        <v>44628</v>
      </c>
      <c r="B326" s="1">
        <v>0</v>
      </c>
      <c r="C326" s="1">
        <v>931.45550000000003</v>
      </c>
      <c r="D326" s="1"/>
    </row>
    <row r="327" spans="1:4">
      <c r="A327" s="3">
        <v>44659</v>
      </c>
      <c r="B327" s="1">
        <v>0</v>
      </c>
      <c r="C327" s="1">
        <v>3745.5762</v>
      </c>
      <c r="D327" s="1"/>
    </row>
    <row r="328" spans="1:4">
      <c r="A328" s="3">
        <v>44689</v>
      </c>
      <c r="B328" s="1">
        <v>0</v>
      </c>
      <c r="C328" s="1">
        <v>1632.6161</v>
      </c>
      <c r="D328" s="1"/>
    </row>
    <row r="329" spans="1:4">
      <c r="A329" s="3">
        <v>44781</v>
      </c>
      <c r="B329" s="1">
        <v>2341.2114999999999</v>
      </c>
      <c r="C329" s="1">
        <v>0</v>
      </c>
      <c r="D329" s="1"/>
    </row>
    <row r="330" spans="1:4">
      <c r="A330" s="3">
        <v>44842</v>
      </c>
      <c r="B330" s="1">
        <v>0</v>
      </c>
      <c r="C330" s="1">
        <v>862.0856</v>
      </c>
      <c r="D330" s="1"/>
    </row>
    <row r="331" spans="1:4">
      <c r="A331" s="3">
        <v>44873</v>
      </c>
      <c r="B331" s="1">
        <v>199.2141</v>
      </c>
      <c r="C331" s="1">
        <v>0</v>
      </c>
      <c r="D331" s="1"/>
    </row>
    <row r="332" spans="1:4">
      <c r="A332" s="3">
        <v>44785</v>
      </c>
      <c r="B332" s="1">
        <v>679.66070000000002</v>
      </c>
      <c r="C332" s="1">
        <v>0</v>
      </c>
      <c r="D332" s="1"/>
    </row>
    <row r="333" spans="1:4">
      <c r="A333" s="3">
        <v>44789</v>
      </c>
      <c r="B333" s="1">
        <v>0</v>
      </c>
      <c r="C333" s="1">
        <v>4169.5745999999999</v>
      </c>
      <c r="D333" s="1"/>
    </row>
    <row r="334" spans="1:4">
      <c r="A334" s="3">
        <v>44790</v>
      </c>
      <c r="B334" s="1">
        <v>2815.9335999999998</v>
      </c>
      <c r="C334" s="1">
        <v>0</v>
      </c>
      <c r="D334" s="1"/>
    </row>
    <row r="335" spans="1:4">
      <c r="A335" s="3">
        <v>44791</v>
      </c>
      <c r="B335" s="1">
        <v>6195.9533000000001</v>
      </c>
      <c r="C335" s="1">
        <v>0</v>
      </c>
      <c r="D335" s="1"/>
    </row>
    <row r="336" spans="1:4">
      <c r="A336" s="3">
        <v>44792</v>
      </c>
      <c r="B336" s="1">
        <v>20301.717799999999</v>
      </c>
      <c r="C336" s="1">
        <v>0</v>
      </c>
      <c r="D336" s="1"/>
    </row>
    <row r="337" spans="1:4">
      <c r="A337" s="3">
        <v>44795</v>
      </c>
      <c r="B337" s="1">
        <v>4291.2929999999997</v>
      </c>
      <c r="C337" s="1">
        <v>0</v>
      </c>
      <c r="D337" s="1"/>
    </row>
    <row r="338" spans="1:4">
      <c r="A338" s="3">
        <v>44796</v>
      </c>
      <c r="B338" s="1">
        <v>0</v>
      </c>
      <c r="C338" s="1">
        <v>5236.2653</v>
      </c>
      <c r="D338" s="1"/>
    </row>
    <row r="339" spans="1:4">
      <c r="A339" s="3">
        <v>44797</v>
      </c>
      <c r="B339" s="1">
        <v>10012.893899999999</v>
      </c>
      <c r="C339" s="1">
        <v>0</v>
      </c>
      <c r="D339" s="1"/>
    </row>
    <row r="340" spans="1:4">
      <c r="A340" s="3">
        <v>44798</v>
      </c>
      <c r="B340" s="1">
        <v>23993.213500000002</v>
      </c>
      <c r="C340" s="1">
        <v>0</v>
      </c>
      <c r="D340" s="1"/>
    </row>
    <row r="341" spans="1:4">
      <c r="A341" s="3">
        <v>44799</v>
      </c>
      <c r="B341" s="1">
        <v>8415.0220000000008</v>
      </c>
      <c r="C341" s="1">
        <v>0</v>
      </c>
      <c r="D341" s="1"/>
    </row>
    <row r="342" spans="1:4">
      <c r="A342" s="1" t="s">
        <v>19</v>
      </c>
      <c r="B342" s="1">
        <v>6214.2237999999998</v>
      </c>
      <c r="C342" s="1">
        <v>0</v>
      </c>
      <c r="D342" s="1"/>
    </row>
    <row r="343" spans="1:4">
      <c r="A343" s="3">
        <v>44570</v>
      </c>
      <c r="B343" s="1">
        <v>0</v>
      </c>
      <c r="C343" s="1">
        <v>4907.7455</v>
      </c>
      <c r="D343" s="1"/>
    </row>
    <row r="344" spans="1:4">
      <c r="A344" s="3">
        <v>44601</v>
      </c>
      <c r="B344" s="1">
        <v>0</v>
      </c>
      <c r="C344" s="1">
        <v>1231.4042999999999</v>
      </c>
      <c r="D344" s="1"/>
    </row>
    <row r="345" spans="1:4">
      <c r="A345" s="3">
        <v>44690</v>
      </c>
      <c r="B345" s="1">
        <v>0</v>
      </c>
      <c r="C345" s="1">
        <v>1639.2543000000001</v>
      </c>
      <c r="D345" s="1"/>
    </row>
    <row r="346" spans="1:4">
      <c r="A346" s="3">
        <v>44721</v>
      </c>
      <c r="B346" s="1">
        <v>0</v>
      </c>
      <c r="C346" s="1">
        <v>3423.3150999999998</v>
      </c>
      <c r="D346" s="1"/>
    </row>
    <row r="347" spans="1:4">
      <c r="A347" s="3">
        <v>44751</v>
      </c>
      <c r="B347" s="1">
        <v>18431.4391</v>
      </c>
      <c r="C347" s="1">
        <v>0</v>
      </c>
      <c r="D347" s="1"/>
    </row>
    <row r="348" spans="1:4">
      <c r="A348" s="3">
        <v>44782</v>
      </c>
      <c r="B348" s="1">
        <v>17588.563900000001</v>
      </c>
      <c r="C348" s="1">
        <v>0</v>
      </c>
      <c r="D348" s="1"/>
    </row>
    <row r="349" spans="1:4">
      <c r="A349" s="3">
        <v>44661</v>
      </c>
      <c r="B349" s="1">
        <v>433.33690000000001</v>
      </c>
      <c r="C349" s="1">
        <v>0</v>
      </c>
      <c r="D349" s="1"/>
    </row>
    <row r="350" spans="1:4">
      <c r="A350" s="3">
        <v>44722</v>
      </c>
      <c r="B350" s="1">
        <v>0</v>
      </c>
      <c r="C350" s="1">
        <v>2451.7721000000001</v>
      </c>
      <c r="D350" s="1"/>
    </row>
    <row r="351" spans="1:4">
      <c r="A351" s="3">
        <v>44752</v>
      </c>
      <c r="B351" s="1">
        <v>1121.4173000000001</v>
      </c>
      <c r="C351" s="1">
        <v>0</v>
      </c>
      <c r="D351" s="1"/>
    </row>
    <row r="352" spans="1:4">
      <c r="A352" s="3">
        <v>44844</v>
      </c>
      <c r="B352" s="1">
        <v>3389.9859000000001</v>
      </c>
      <c r="C352" s="1">
        <v>0</v>
      </c>
      <c r="D352" s="1"/>
    </row>
    <row r="353" spans="1:4">
      <c r="A353" s="3">
        <v>44875</v>
      </c>
      <c r="B353" s="1">
        <v>0</v>
      </c>
      <c r="C353" s="1">
        <v>3468.5974999999999</v>
      </c>
      <c r="D353" s="1"/>
    </row>
    <row r="354" spans="1:4">
      <c r="A354" s="3">
        <v>44846</v>
      </c>
      <c r="B354" s="1">
        <v>3798.1691999999998</v>
      </c>
      <c r="C354" s="1">
        <v>0</v>
      </c>
      <c r="D354" s="1"/>
    </row>
    <row r="355" spans="1:4">
      <c r="A355" s="3">
        <v>44847</v>
      </c>
      <c r="B355" s="1">
        <v>0</v>
      </c>
      <c r="C355" s="1">
        <v>4317.9642999999996</v>
      </c>
      <c r="D355" s="1"/>
    </row>
    <row r="356" spans="1:4">
      <c r="A356" s="3">
        <v>44848</v>
      </c>
      <c r="B356" s="1">
        <v>0</v>
      </c>
      <c r="C356" s="1">
        <v>762.11069999999995</v>
      </c>
      <c r="D356" s="1"/>
    </row>
    <row r="357" spans="1:4">
      <c r="A357" s="3">
        <v>44851</v>
      </c>
      <c r="B357" s="1">
        <v>0</v>
      </c>
      <c r="C357" s="1">
        <v>2418.2633000000001</v>
      </c>
      <c r="D357" s="1"/>
    </row>
    <row r="358" spans="1:4">
      <c r="A358" s="3">
        <v>44852</v>
      </c>
      <c r="B358" s="1">
        <v>0</v>
      </c>
      <c r="C358" s="1">
        <v>2027.4078</v>
      </c>
      <c r="D358" s="1"/>
    </row>
    <row r="359" spans="1:4">
      <c r="A359" s="3">
        <v>44853</v>
      </c>
      <c r="B359" s="1">
        <v>14726.1193</v>
      </c>
      <c r="C359" s="1">
        <v>0</v>
      </c>
      <c r="D359" s="1"/>
    </row>
    <row r="360" spans="1:4">
      <c r="A360" s="3">
        <v>44854</v>
      </c>
      <c r="B360" s="1">
        <v>8869.0144999999993</v>
      </c>
      <c r="C360" s="1">
        <v>0</v>
      </c>
      <c r="D360" s="1"/>
    </row>
    <row r="361" spans="1:4">
      <c r="A361" s="3">
        <v>44855</v>
      </c>
      <c r="B361" s="1">
        <v>0</v>
      </c>
      <c r="C361" s="1">
        <v>498.99680000000001</v>
      </c>
      <c r="D361" s="1"/>
    </row>
    <row r="362" spans="1:4">
      <c r="A362" s="3">
        <v>44858</v>
      </c>
      <c r="B362" s="1">
        <v>334.55549999999999</v>
      </c>
      <c r="C362" s="1">
        <v>0</v>
      </c>
      <c r="D362" s="1"/>
    </row>
    <row r="363" spans="1:4">
      <c r="A363" s="3">
        <v>44859</v>
      </c>
      <c r="B363" s="1">
        <v>8855.8017999999993</v>
      </c>
      <c r="C363" s="1">
        <v>0</v>
      </c>
      <c r="D363" s="1"/>
    </row>
    <row r="364" spans="1:4">
      <c r="A364" s="3">
        <v>44861</v>
      </c>
      <c r="B364" s="1">
        <v>9972.7870000000003</v>
      </c>
      <c r="C364" s="1">
        <v>0</v>
      </c>
      <c r="D364" s="1"/>
    </row>
    <row r="365" spans="1:4">
      <c r="A365" s="1" t="s">
        <v>20</v>
      </c>
      <c r="B365" s="1">
        <v>5.2336999999999998</v>
      </c>
      <c r="C365" s="1">
        <v>0</v>
      </c>
      <c r="D365" s="1"/>
    </row>
    <row r="366" spans="1:4">
      <c r="A366" s="3">
        <v>44631</v>
      </c>
      <c r="B366" s="1">
        <v>0</v>
      </c>
      <c r="C366" s="1">
        <v>2374.0018</v>
      </c>
      <c r="D366" s="1"/>
    </row>
    <row r="367" spans="1:4">
      <c r="A367" s="3">
        <v>44662</v>
      </c>
      <c r="B367" s="1">
        <v>0</v>
      </c>
      <c r="C367" s="1">
        <v>1370.9594999999999</v>
      </c>
      <c r="D367" s="1"/>
    </row>
    <row r="368" spans="1:4">
      <c r="A368" s="3">
        <v>44753</v>
      </c>
      <c r="B368" s="1">
        <v>5395.0268999999998</v>
      </c>
      <c r="C368" s="1">
        <v>0</v>
      </c>
      <c r="D368" s="1"/>
    </row>
    <row r="369" spans="1:4">
      <c r="A369" s="3">
        <v>44815</v>
      </c>
      <c r="B369" s="1">
        <v>7994.1966000000002</v>
      </c>
      <c r="C369" s="1">
        <v>0</v>
      </c>
      <c r="D369" s="1"/>
    </row>
    <row r="370" spans="1:4">
      <c r="A370" s="3">
        <v>44845</v>
      </c>
      <c r="B370" s="1">
        <v>0</v>
      </c>
      <c r="C370" s="1">
        <v>1328.6657</v>
      </c>
      <c r="D370" s="1"/>
    </row>
    <row r="371" spans="1:4">
      <c r="A371" s="3">
        <v>44876</v>
      </c>
      <c r="B371" s="1">
        <v>0</v>
      </c>
      <c r="C371" s="1">
        <v>561.34649999999999</v>
      </c>
      <c r="D371" s="1"/>
    </row>
    <row r="372" spans="1:4">
      <c r="A372" s="3">
        <v>44879</v>
      </c>
      <c r="B372" s="1">
        <v>0</v>
      </c>
      <c r="C372" s="1">
        <v>998.70259999999996</v>
      </c>
      <c r="D372" s="1"/>
    </row>
    <row r="373" spans="1:4">
      <c r="A373" s="3">
        <v>44880</v>
      </c>
      <c r="B373" s="1">
        <v>2560.7914000000001</v>
      </c>
      <c r="C373" s="1">
        <v>0</v>
      </c>
      <c r="D373" s="1"/>
    </row>
    <row r="374" spans="1:4">
      <c r="A374" s="3">
        <v>44881</v>
      </c>
      <c r="B374" s="1">
        <v>0</v>
      </c>
      <c r="C374" s="1">
        <v>817.03269999999998</v>
      </c>
      <c r="D374" s="1"/>
    </row>
    <row r="375" spans="1:4">
      <c r="A375" s="3">
        <v>44882</v>
      </c>
      <c r="B375" s="1">
        <v>0</v>
      </c>
      <c r="C375" s="1">
        <v>728.52139999999997</v>
      </c>
      <c r="D375" s="1"/>
    </row>
    <row r="376" spans="1:4">
      <c r="A376" s="3">
        <v>44883</v>
      </c>
      <c r="B376" s="1">
        <v>1598.4872</v>
      </c>
      <c r="C376" s="1">
        <v>0</v>
      </c>
      <c r="D376" s="1"/>
    </row>
    <row r="377" spans="1:4">
      <c r="A377" s="3">
        <v>44886</v>
      </c>
      <c r="B377" s="1">
        <v>2149.3807000000002</v>
      </c>
      <c r="C377" s="1">
        <v>0</v>
      </c>
      <c r="D377" s="1"/>
    </row>
    <row r="378" spans="1:4">
      <c r="A378" s="3">
        <v>44887</v>
      </c>
      <c r="B378" s="1">
        <v>0</v>
      </c>
      <c r="C378" s="1">
        <v>152.66720000000001</v>
      </c>
      <c r="D378" s="1"/>
    </row>
    <row r="379" spans="1:4">
      <c r="A379" s="3">
        <v>44888</v>
      </c>
      <c r="B379" s="1">
        <v>0</v>
      </c>
      <c r="C379" s="1">
        <v>388.1037</v>
      </c>
      <c r="D379" s="1"/>
    </row>
    <row r="380" spans="1:4">
      <c r="A380" s="3">
        <v>44889</v>
      </c>
      <c r="B380" s="1">
        <v>0</v>
      </c>
      <c r="C380" s="1">
        <v>1904.0329999999999</v>
      </c>
      <c r="D380" s="1"/>
    </row>
    <row r="381" spans="1:4">
      <c r="A381" s="3">
        <v>44893</v>
      </c>
      <c r="B381" s="1">
        <v>257.60230000000001</v>
      </c>
      <c r="C381" s="1">
        <v>0</v>
      </c>
      <c r="D381" s="1"/>
    </row>
    <row r="382" spans="1:4">
      <c r="A382" s="3">
        <v>44894</v>
      </c>
      <c r="B382" s="1">
        <v>1372.4699000000001</v>
      </c>
      <c r="C382" s="1">
        <v>0</v>
      </c>
      <c r="D382" s="1"/>
    </row>
    <row r="383" spans="1:4">
      <c r="A383" s="1" t="s">
        <v>21</v>
      </c>
      <c r="B383" s="1">
        <v>1744.595</v>
      </c>
      <c r="C383" s="1">
        <v>0</v>
      </c>
      <c r="D383" s="1"/>
    </row>
    <row r="384" spans="1:4">
      <c r="A384" s="3">
        <v>44573</v>
      </c>
      <c r="B384" s="1">
        <v>0</v>
      </c>
      <c r="C384" s="1">
        <v>557.66890000000001</v>
      </c>
      <c r="D384" s="1"/>
    </row>
    <row r="385" spans="1:4">
      <c r="A385" s="3">
        <v>44604</v>
      </c>
      <c r="B385" s="1">
        <v>615.47249999999997</v>
      </c>
      <c r="C385" s="1">
        <v>0</v>
      </c>
      <c r="D385" s="1"/>
    </row>
    <row r="386" spans="1:4">
      <c r="A386" s="3">
        <v>44693</v>
      </c>
      <c r="B386" s="1">
        <v>0</v>
      </c>
      <c r="C386" s="1">
        <v>540.72559999999999</v>
      </c>
      <c r="D386" s="1"/>
    </row>
    <row r="387" spans="1:4">
      <c r="A387" s="3">
        <v>44724</v>
      </c>
      <c r="B387" s="1">
        <v>2741.0497</v>
      </c>
      <c r="C387" s="1">
        <v>0</v>
      </c>
      <c r="D387" s="1"/>
    </row>
    <row r="388" spans="1:4">
      <c r="A388" s="3">
        <v>44754</v>
      </c>
      <c r="B388" s="1">
        <v>0</v>
      </c>
      <c r="C388" s="1">
        <v>1035.2144000000001</v>
      </c>
      <c r="D388" s="1"/>
    </row>
    <row r="389" spans="1:4">
      <c r="A389" s="3">
        <v>44785</v>
      </c>
      <c r="B389" s="1">
        <v>0</v>
      </c>
      <c r="C389" s="1">
        <v>985.2681</v>
      </c>
      <c r="D389" s="1"/>
    </row>
    <row r="390" spans="1:4">
      <c r="A390" s="3">
        <v>44907</v>
      </c>
      <c r="B390" s="1">
        <v>2577.9807000000001</v>
      </c>
      <c r="C390" s="1">
        <v>0</v>
      </c>
      <c r="D390" s="1"/>
    </row>
    <row r="391" spans="1:4">
      <c r="A391" s="3">
        <v>44908</v>
      </c>
      <c r="B391" s="1">
        <v>0</v>
      </c>
      <c r="C391" s="1">
        <v>133.44810000000001</v>
      </c>
      <c r="D391" s="1"/>
    </row>
    <row r="392" spans="1:4">
      <c r="A392" s="3">
        <v>44909</v>
      </c>
      <c r="B392" s="1">
        <v>2681.6732999999999</v>
      </c>
      <c r="C392" s="1">
        <v>0</v>
      </c>
      <c r="D392" s="1"/>
    </row>
    <row r="393" spans="1:4">
      <c r="A393" s="3">
        <v>44921</v>
      </c>
      <c r="B393" s="1">
        <v>0</v>
      </c>
      <c r="C393" s="1">
        <v>774.51850000000002</v>
      </c>
      <c r="D393" s="1"/>
    </row>
    <row r="394" spans="1:4">
      <c r="A394" s="3">
        <v>44922</v>
      </c>
      <c r="B394" s="1">
        <v>0</v>
      </c>
      <c r="C394" s="1">
        <v>3451.5010000000002</v>
      </c>
      <c r="D394" s="1"/>
    </row>
    <row r="395" spans="1:4">
      <c r="A395" s="3">
        <v>44923</v>
      </c>
      <c r="B395" s="1">
        <v>10567.8069</v>
      </c>
      <c r="C395" s="1">
        <v>0</v>
      </c>
      <c r="D395" s="1"/>
    </row>
    <row r="396" spans="1:4">
      <c r="A396" s="3">
        <v>44924</v>
      </c>
      <c r="B396" s="1">
        <v>0</v>
      </c>
      <c r="C396" s="1">
        <v>4224.5066999999999</v>
      </c>
      <c r="D396" s="1"/>
    </row>
    <row r="397" spans="1:4">
      <c r="A397" s="1" t="s">
        <v>22</v>
      </c>
      <c r="B397" s="1">
        <v>0</v>
      </c>
      <c r="C397" s="1">
        <v>1529.0786000000001</v>
      </c>
      <c r="D397" s="1"/>
    </row>
    <row r="398" spans="1:4">
      <c r="A398" s="3">
        <v>44958</v>
      </c>
      <c r="B398" s="1">
        <v>2993.0871000000002</v>
      </c>
      <c r="C398" s="1">
        <v>0</v>
      </c>
      <c r="D398" s="1"/>
    </row>
    <row r="399" spans="1:4">
      <c r="A399" s="3">
        <v>44986</v>
      </c>
      <c r="B399" s="1">
        <v>0</v>
      </c>
      <c r="C399" s="1">
        <v>2143.1053000000002</v>
      </c>
      <c r="D399" s="1"/>
    </row>
    <row r="400" spans="1:4">
      <c r="A400" s="3">
        <v>45017</v>
      </c>
      <c r="B400" s="1">
        <v>0</v>
      </c>
      <c r="C400" s="1">
        <v>2306.2375999999999</v>
      </c>
      <c r="D400" s="1"/>
    </row>
    <row r="401" spans="1:4">
      <c r="A401" s="3">
        <v>45047</v>
      </c>
      <c r="B401" s="1">
        <v>0</v>
      </c>
      <c r="C401" s="1">
        <v>14935.980799999999</v>
      </c>
      <c r="D401" s="1"/>
    </row>
    <row r="402" spans="1:4">
      <c r="A402" s="3">
        <v>45078</v>
      </c>
      <c r="B402" s="1">
        <v>7818.2453999999998</v>
      </c>
      <c r="C402" s="1">
        <v>0</v>
      </c>
      <c r="D402" s="1"/>
    </row>
    <row r="403" spans="1:4">
      <c r="A403" s="3">
        <v>45170</v>
      </c>
      <c r="B403" s="1">
        <v>0</v>
      </c>
      <c r="C403" s="1">
        <v>882.91819999999996</v>
      </c>
      <c r="D403" s="1"/>
    </row>
    <row r="404" spans="1:4">
      <c r="A404" s="3">
        <v>45200</v>
      </c>
      <c r="B404" s="1">
        <v>0</v>
      </c>
      <c r="C404" s="1">
        <v>1680.8835999999999</v>
      </c>
      <c r="D404" s="1"/>
    </row>
    <row r="405" spans="1:4">
      <c r="A405" s="3">
        <v>45231</v>
      </c>
      <c r="B405" s="1">
        <v>0</v>
      </c>
      <c r="C405" s="1">
        <v>2173.6007</v>
      </c>
      <c r="D405" s="1"/>
    </row>
    <row r="406" spans="1:4">
      <c r="A406" s="3">
        <v>44938</v>
      </c>
      <c r="B406" s="1">
        <v>0</v>
      </c>
      <c r="C406" s="1">
        <v>9215.2042000000001</v>
      </c>
      <c r="D406" s="1"/>
    </row>
    <row r="407" spans="1:4">
      <c r="A407" s="3">
        <v>44939</v>
      </c>
      <c r="B407" s="1">
        <v>0</v>
      </c>
      <c r="C407" s="1">
        <v>544.24459999999999</v>
      </c>
      <c r="D407" s="1"/>
    </row>
    <row r="408" spans="1:4">
      <c r="A408" s="3">
        <v>44942</v>
      </c>
      <c r="B408" s="1">
        <v>1251.3236999999999</v>
      </c>
      <c r="C408" s="1">
        <v>0</v>
      </c>
      <c r="D408" s="1"/>
    </row>
    <row r="409" spans="1:4">
      <c r="A409" s="3">
        <v>44943</v>
      </c>
      <c r="B409" s="1">
        <v>723.4126</v>
      </c>
      <c r="C409" s="1">
        <v>0</v>
      </c>
      <c r="D409" s="1"/>
    </row>
    <row r="410" spans="1:4">
      <c r="A410" s="3">
        <v>44944</v>
      </c>
      <c r="B410" s="1">
        <v>0</v>
      </c>
      <c r="C410" s="1">
        <v>1766.6661999999999</v>
      </c>
      <c r="D410" s="1"/>
    </row>
    <row r="411" spans="1:4">
      <c r="A411" s="3">
        <v>44945</v>
      </c>
      <c r="B411" s="1">
        <v>4121.9110000000001</v>
      </c>
      <c r="C411" s="1">
        <v>0</v>
      </c>
      <c r="D411" s="1"/>
    </row>
    <row r="412" spans="1:4">
      <c r="A412" s="3">
        <v>44946</v>
      </c>
      <c r="B412" s="1">
        <v>0</v>
      </c>
      <c r="C412" s="1">
        <v>376.18770000000001</v>
      </c>
      <c r="D412" s="1"/>
    </row>
    <row r="413" spans="1:4">
      <c r="A413" s="3">
        <v>44953</v>
      </c>
      <c r="B413" s="1">
        <v>0</v>
      </c>
      <c r="C413" s="1">
        <v>1367.1231</v>
      </c>
      <c r="D413" s="1"/>
    </row>
    <row r="414" spans="1:4">
      <c r="A414" s="3">
        <v>44956</v>
      </c>
      <c r="B414" s="1">
        <v>0</v>
      </c>
      <c r="C414" s="1">
        <v>2072.4436000000001</v>
      </c>
      <c r="D414" s="1"/>
    </row>
    <row r="415" spans="1:4">
      <c r="A415" s="1" t="s">
        <v>23</v>
      </c>
      <c r="B415" s="1">
        <v>0</v>
      </c>
      <c r="C415" s="1">
        <v>149.73519999999999</v>
      </c>
      <c r="D415" s="1"/>
    </row>
    <row r="416" spans="1:4">
      <c r="A416" s="3">
        <v>44932</v>
      </c>
      <c r="B416" s="1">
        <v>0</v>
      </c>
      <c r="C416" s="1">
        <v>14607.087600000001</v>
      </c>
      <c r="D416" s="1"/>
    </row>
    <row r="417" spans="1:4">
      <c r="A417" s="3">
        <v>44963</v>
      </c>
      <c r="B417" s="1">
        <v>0</v>
      </c>
      <c r="C417" s="1">
        <v>12385.5404</v>
      </c>
      <c r="D417" s="1"/>
    </row>
    <row r="418" spans="1:4">
      <c r="A418" s="3">
        <v>45052</v>
      </c>
      <c r="B418" s="1">
        <v>0</v>
      </c>
      <c r="C418" s="1">
        <v>20611.624100000001</v>
      </c>
      <c r="D418" s="1"/>
    </row>
    <row r="419" spans="1:4">
      <c r="A419" s="3">
        <v>45083</v>
      </c>
      <c r="B419" s="1">
        <v>26855.3266</v>
      </c>
      <c r="C419" s="1">
        <v>0</v>
      </c>
      <c r="D419" s="1"/>
    </row>
    <row r="420" spans="1:4">
      <c r="A420" s="3">
        <v>45113</v>
      </c>
      <c r="B420" s="1">
        <v>0</v>
      </c>
      <c r="C420" s="1">
        <v>17176.6937</v>
      </c>
      <c r="D420" s="1"/>
    </row>
    <row r="421" spans="1:4">
      <c r="A421" s="3">
        <v>45085</v>
      </c>
      <c r="B421" s="1">
        <v>0</v>
      </c>
      <c r="C421" s="1">
        <v>35775.041100000002</v>
      </c>
      <c r="D421" s="1"/>
    </row>
    <row r="422" spans="1:4">
      <c r="A422" s="3">
        <v>45086</v>
      </c>
      <c r="B422" s="1">
        <v>93112.627299999993</v>
      </c>
      <c r="C422" s="1">
        <v>0</v>
      </c>
      <c r="D422" s="1"/>
    </row>
    <row r="423" spans="1:4">
      <c r="A423" s="3">
        <v>45090</v>
      </c>
      <c r="B423" s="1">
        <v>0</v>
      </c>
      <c r="C423" s="1">
        <v>5781.0807000000004</v>
      </c>
      <c r="D423" s="1"/>
    </row>
    <row r="424" spans="1:4">
      <c r="A424" s="3">
        <v>45091</v>
      </c>
      <c r="B424" s="1">
        <v>22580.912100000001</v>
      </c>
      <c r="C424" s="1">
        <v>0</v>
      </c>
      <c r="D424" s="1"/>
    </row>
    <row r="425" spans="1:4">
      <c r="A425" s="3">
        <v>45092</v>
      </c>
      <c r="B425" s="1">
        <v>0</v>
      </c>
      <c r="C425" s="1">
        <v>22722.9853</v>
      </c>
      <c r="D425" s="1"/>
    </row>
    <row r="426" spans="1:4">
      <c r="A426" s="3">
        <v>45093</v>
      </c>
      <c r="B426" s="1">
        <v>3846.4468999999999</v>
      </c>
      <c r="C426" s="1">
        <v>0</v>
      </c>
      <c r="D426" s="1"/>
    </row>
    <row r="427" spans="1:4">
      <c r="A427" s="3">
        <v>45096</v>
      </c>
      <c r="B427" s="1">
        <v>0</v>
      </c>
      <c r="C427" s="1">
        <v>10382.3763</v>
      </c>
      <c r="D427" s="1"/>
    </row>
    <row r="428" spans="1:4">
      <c r="A428" s="3">
        <v>45097</v>
      </c>
      <c r="B428" s="1">
        <v>0</v>
      </c>
      <c r="C428" s="1">
        <v>25014.507300000001</v>
      </c>
      <c r="D428" s="1"/>
    </row>
    <row r="429" spans="1:4">
      <c r="A429" s="3">
        <v>45098</v>
      </c>
      <c r="B429" s="1">
        <v>0</v>
      </c>
      <c r="C429" s="1">
        <v>21821.383300000001</v>
      </c>
      <c r="D429" s="1"/>
    </row>
    <row r="430" spans="1:4">
      <c r="A430" s="1" t="s">
        <v>24</v>
      </c>
      <c r="B430" s="1">
        <v>44562.986900000004</v>
      </c>
      <c r="C430" s="1">
        <v>0</v>
      </c>
      <c r="D430" s="1"/>
    </row>
    <row r="431" spans="1:4">
      <c r="A431" s="1" t="s">
        <v>25</v>
      </c>
      <c r="B431" s="1">
        <v>48894.442000000003</v>
      </c>
      <c r="C431" s="1">
        <v>0</v>
      </c>
      <c r="D431" s="1"/>
    </row>
    <row r="432" spans="1:4">
      <c r="A432" s="3">
        <v>45023</v>
      </c>
      <c r="B432" s="1">
        <v>0</v>
      </c>
      <c r="C432" s="1">
        <v>440.36869999999999</v>
      </c>
      <c r="D432" s="1"/>
    </row>
    <row r="433" spans="1:4">
      <c r="A433" s="3">
        <v>45053</v>
      </c>
      <c r="B433" s="1">
        <v>0</v>
      </c>
      <c r="C433" s="1">
        <v>2026.8333</v>
      </c>
      <c r="D433" s="1"/>
    </row>
    <row r="434" spans="1:4">
      <c r="A434" s="3">
        <v>45237</v>
      </c>
      <c r="B434" s="1">
        <v>0</v>
      </c>
      <c r="C434" s="1">
        <v>9012.7160999999996</v>
      </c>
      <c r="D434" s="1"/>
    </row>
    <row r="435" spans="1:4">
      <c r="A435" s="3">
        <v>45119</v>
      </c>
      <c r="B435" s="1">
        <v>6869.6406999999999</v>
      </c>
      <c r="C435" s="1">
        <v>0</v>
      </c>
      <c r="D435" s="1"/>
    </row>
    <row r="436" spans="1:4">
      <c r="A436" s="3">
        <v>45134</v>
      </c>
      <c r="B436" s="1">
        <v>0</v>
      </c>
      <c r="C436" s="1">
        <v>11576.6157</v>
      </c>
      <c r="D436" s="1"/>
    </row>
    <row r="437" spans="1:4">
      <c r="A437" s="3">
        <v>45135</v>
      </c>
      <c r="B437" s="1">
        <v>0</v>
      </c>
      <c r="C437" s="1">
        <v>10850.0332</v>
      </c>
      <c r="D437" s="1"/>
    </row>
    <row r="438" spans="1:4">
      <c r="A438" s="3">
        <v>45138</v>
      </c>
      <c r="B438" s="1">
        <v>13283.649100000001</v>
      </c>
      <c r="C438" s="1">
        <v>0</v>
      </c>
      <c r="D438" s="1"/>
    </row>
    <row r="439" spans="1:4">
      <c r="A439" s="3">
        <v>45139</v>
      </c>
      <c r="B439" s="1">
        <v>0</v>
      </c>
      <c r="C439" s="1">
        <v>35161.9058</v>
      </c>
      <c r="D439" s="1"/>
    </row>
    <row r="440" spans="1:4">
      <c r="A440" s="3">
        <v>45140</v>
      </c>
      <c r="B440" s="1">
        <v>0</v>
      </c>
      <c r="C440" s="1">
        <v>41446.182699999998</v>
      </c>
      <c r="D440" s="1"/>
    </row>
    <row r="441" spans="1:4">
      <c r="A441" s="3">
        <v>45141</v>
      </c>
      <c r="B441" s="1">
        <v>0</v>
      </c>
      <c r="C441" s="1">
        <v>33277.988299999997</v>
      </c>
      <c r="D441" s="1"/>
    </row>
    <row r="442" spans="1:4">
      <c r="A442" s="3">
        <v>45142</v>
      </c>
      <c r="B442" s="1">
        <v>39028.747499999998</v>
      </c>
      <c r="C442" s="1">
        <v>0</v>
      </c>
      <c r="D442" s="1"/>
    </row>
    <row r="443" spans="1:4">
      <c r="A443" s="3">
        <v>45145</v>
      </c>
      <c r="B443" s="1">
        <v>0</v>
      </c>
      <c r="C443" s="1">
        <v>48170.931400000001</v>
      </c>
      <c r="D443" s="1"/>
    </row>
    <row r="444" spans="1:4">
      <c r="A444" s="3">
        <v>45146</v>
      </c>
      <c r="B444" s="1">
        <v>0</v>
      </c>
      <c r="C444" s="1">
        <v>23900.6721</v>
      </c>
      <c r="D444" s="1"/>
    </row>
    <row r="445" spans="1:4">
      <c r="A445" s="3">
        <v>45147</v>
      </c>
      <c r="B445" s="1">
        <v>0</v>
      </c>
      <c r="C445" s="1">
        <v>25615.863399999998</v>
      </c>
      <c r="D445" s="1"/>
    </row>
    <row r="446" spans="1:4">
      <c r="A446" s="3">
        <v>45148</v>
      </c>
      <c r="B446" s="1">
        <v>0</v>
      </c>
      <c r="C446" s="1">
        <v>75622.883300000001</v>
      </c>
      <c r="D446" s="1"/>
    </row>
    <row r="447" spans="1:4">
      <c r="A447" s="3">
        <v>45149</v>
      </c>
      <c r="B447" s="1">
        <v>64337.355799999998</v>
      </c>
      <c r="C447" s="1">
        <v>0</v>
      </c>
      <c r="D447" s="1"/>
    </row>
    <row r="448" spans="1:4">
      <c r="A448" s="1" t="s">
        <v>26</v>
      </c>
      <c r="B448" s="1">
        <v>0</v>
      </c>
      <c r="C448" s="1">
        <v>124073.1459</v>
      </c>
      <c r="D448" s="1"/>
    </row>
    <row r="449" spans="1:4">
      <c r="A449" s="1" t="s">
        <v>27</v>
      </c>
      <c r="B449" s="1">
        <v>173792.33360000001</v>
      </c>
      <c r="C449" s="1">
        <v>0</v>
      </c>
      <c r="D449" s="1"/>
    </row>
    <row r="450" spans="1:4">
      <c r="A450" s="1" t="s">
        <v>28</v>
      </c>
      <c r="B450" s="1">
        <v>0</v>
      </c>
      <c r="C450" s="1">
        <v>37758.178899999999</v>
      </c>
      <c r="D450" s="1"/>
    </row>
    <row r="451" spans="1:4">
      <c r="A451" s="1" t="s">
        <v>29</v>
      </c>
      <c r="B451" s="1">
        <v>8259.2191999999995</v>
      </c>
      <c r="C451" s="1">
        <v>0</v>
      </c>
      <c r="D451" s="1"/>
    </row>
    <row r="452" spans="1:4">
      <c r="A452" s="1" t="s">
        <v>30</v>
      </c>
      <c r="B452" s="1">
        <v>107223.1277</v>
      </c>
      <c r="C452" s="1">
        <v>0</v>
      </c>
      <c r="D452" s="1"/>
    </row>
    <row r="453" spans="1:4">
      <c r="A453" s="1" t="s">
        <v>31</v>
      </c>
      <c r="B453" s="1">
        <v>5935.2795999999998</v>
      </c>
      <c r="C453" s="1">
        <v>0</v>
      </c>
      <c r="D453" s="1"/>
    </row>
    <row r="454" spans="1:4">
      <c r="A454" s="3">
        <v>45266</v>
      </c>
      <c r="B454" s="1">
        <v>12698.846299999999</v>
      </c>
      <c r="C454" s="1">
        <v>0</v>
      </c>
      <c r="D454" s="1"/>
    </row>
    <row r="455" spans="1:4">
      <c r="A455" s="1" t="s">
        <v>32</v>
      </c>
      <c r="B455" s="1">
        <v>59.590699999999998</v>
      </c>
      <c r="C455" s="1">
        <v>0</v>
      </c>
      <c r="D455" s="1"/>
    </row>
    <row r="456" spans="1:4">
      <c r="A456" s="1" t="s">
        <v>33</v>
      </c>
      <c r="B456" s="1">
        <v>0</v>
      </c>
      <c r="C456" s="1">
        <v>13129.091200000001</v>
      </c>
      <c r="D456" s="1"/>
    </row>
    <row r="457" spans="1:4">
      <c r="A457" s="1" t="s">
        <v>34</v>
      </c>
      <c r="B457" s="1">
        <v>11987.6842</v>
      </c>
      <c r="C457" s="1">
        <v>0</v>
      </c>
      <c r="D457" s="1"/>
    </row>
    <row r="458" spans="1:4">
      <c r="A458" s="1" t="s">
        <v>35</v>
      </c>
      <c r="B458" s="1">
        <v>0</v>
      </c>
      <c r="C458" s="1">
        <v>1146.3553999999999</v>
      </c>
      <c r="D458" s="1"/>
    </row>
    <row r="459" spans="1:4">
      <c r="A459" s="1" t="s">
        <v>36</v>
      </c>
      <c r="B459" s="1">
        <v>128520.2009</v>
      </c>
      <c r="C459" s="1">
        <v>0</v>
      </c>
      <c r="D459" s="1"/>
    </row>
    <row r="460" spans="1:4">
      <c r="A460" s="1" t="s">
        <v>37</v>
      </c>
      <c r="B460" s="1">
        <v>0</v>
      </c>
      <c r="C460" s="1">
        <v>1833.7695000000001</v>
      </c>
      <c r="D460" s="1"/>
    </row>
    <row r="461" spans="1:4">
      <c r="A461" s="1" t="s">
        <v>38</v>
      </c>
      <c r="B461" s="1">
        <v>0</v>
      </c>
      <c r="C461" s="1">
        <v>12330.742899999999</v>
      </c>
      <c r="D461" s="1"/>
    </row>
    <row r="462" spans="1:4">
      <c r="A462" s="3">
        <v>44935</v>
      </c>
      <c r="B462" s="1">
        <v>0</v>
      </c>
      <c r="C462" s="1">
        <v>1800.4091000000001</v>
      </c>
      <c r="D462" s="1"/>
    </row>
    <row r="463" spans="1:4">
      <c r="A463" s="3">
        <v>45173</v>
      </c>
      <c r="B463" s="1">
        <v>6967.9570000000003</v>
      </c>
      <c r="C463" s="1">
        <v>0</v>
      </c>
      <c r="D463" s="1"/>
    </row>
    <row r="464" spans="1:4">
      <c r="A464" s="3">
        <v>45174</v>
      </c>
      <c r="B464" s="1">
        <v>0</v>
      </c>
      <c r="C464" s="1">
        <v>3538.8845000000001</v>
      </c>
      <c r="D464" s="1"/>
    </row>
    <row r="465" spans="1:4">
      <c r="A465" s="3">
        <v>45175</v>
      </c>
      <c r="B465" s="1">
        <v>21327.6201</v>
      </c>
      <c r="C465" s="1">
        <v>0</v>
      </c>
      <c r="D465" s="1"/>
    </row>
    <row r="466" spans="1:4">
      <c r="A466" s="3">
        <v>45176</v>
      </c>
      <c r="B466" s="1">
        <v>0</v>
      </c>
      <c r="C466" s="1">
        <v>3467.4497999999999</v>
      </c>
      <c r="D466" s="1"/>
    </row>
    <row r="467" spans="1:4">
      <c r="A467" s="3">
        <v>45177</v>
      </c>
      <c r="B467" s="1">
        <v>5488.3014000000003</v>
      </c>
      <c r="C467" s="1">
        <v>0</v>
      </c>
      <c r="D467" s="1"/>
    </row>
    <row r="468" spans="1:4">
      <c r="A468" s="3">
        <v>45180</v>
      </c>
      <c r="B468" s="1">
        <v>0</v>
      </c>
      <c r="C468" s="1">
        <v>9828.9179999999997</v>
      </c>
      <c r="D468" s="1"/>
    </row>
    <row r="469" spans="1:4">
      <c r="A469" s="3">
        <v>45181</v>
      </c>
      <c r="B469" s="1">
        <v>0</v>
      </c>
      <c r="C469" s="1">
        <v>35326.881500000003</v>
      </c>
      <c r="D469" s="1"/>
    </row>
    <row r="470" spans="1:4">
      <c r="A470" s="3">
        <v>45182</v>
      </c>
      <c r="B470" s="1">
        <v>0</v>
      </c>
      <c r="C470" s="1">
        <v>36398.493300000002</v>
      </c>
      <c r="D470" s="1"/>
    </row>
    <row r="471" spans="1:4">
      <c r="A471" s="3">
        <v>45183</v>
      </c>
      <c r="B471" s="1">
        <v>0</v>
      </c>
      <c r="C471" s="1">
        <v>58502.2673</v>
      </c>
      <c r="D471" s="1"/>
    </row>
    <row r="472" spans="1:4">
      <c r="A472" s="3">
        <v>45184</v>
      </c>
      <c r="B472" s="1">
        <v>0</v>
      </c>
      <c r="C472" s="1">
        <v>13319.369500000001</v>
      </c>
      <c r="D472" s="1"/>
    </row>
    <row r="473" spans="1:4">
      <c r="A473" s="3">
        <v>45187</v>
      </c>
      <c r="B473" s="1">
        <v>0</v>
      </c>
      <c r="C473" s="1">
        <v>8028.5829999999996</v>
      </c>
      <c r="D473" s="1"/>
    </row>
    <row r="474" spans="1:4">
      <c r="A474" s="3">
        <v>45189</v>
      </c>
      <c r="B474" s="1">
        <v>95453.894899999999</v>
      </c>
      <c r="C474" s="1">
        <v>0</v>
      </c>
      <c r="D474" s="1"/>
    </row>
    <row r="475" spans="1:4">
      <c r="A475" s="3">
        <v>45190</v>
      </c>
      <c r="B475" s="1">
        <v>18445.636500000001</v>
      </c>
      <c r="C475" s="1">
        <v>0</v>
      </c>
      <c r="D475" s="1"/>
    </row>
    <row r="476" spans="1:4">
      <c r="A476" s="3">
        <v>45191</v>
      </c>
      <c r="B476" s="1">
        <v>7087.5105999999996</v>
      </c>
      <c r="C476" s="1">
        <v>0</v>
      </c>
      <c r="D476" s="1"/>
    </row>
    <row r="477" spans="1:4">
      <c r="A477" s="3">
        <v>45194</v>
      </c>
      <c r="B477" s="1">
        <v>0</v>
      </c>
      <c r="C477" s="1">
        <v>13957.079400000001</v>
      </c>
      <c r="D477" s="1"/>
    </row>
    <row r="478" spans="1:4">
      <c r="A478" s="3">
        <v>45195</v>
      </c>
      <c r="B478" s="1">
        <v>0</v>
      </c>
      <c r="C478" s="1">
        <v>14703.9301</v>
      </c>
      <c r="D478" s="1"/>
    </row>
    <row r="479" spans="1:4">
      <c r="A479" s="3">
        <v>45196</v>
      </c>
      <c r="B479" s="1">
        <v>17932.155999999999</v>
      </c>
      <c r="C479" s="1">
        <v>0</v>
      </c>
      <c r="D479" s="1"/>
    </row>
    <row r="480" spans="1:4">
      <c r="A480" s="3">
        <v>45197</v>
      </c>
      <c r="B480" s="1">
        <v>0</v>
      </c>
      <c r="C480" s="1">
        <v>19602.767599999999</v>
      </c>
      <c r="D480" s="1"/>
    </row>
    <row r="481" spans="1:4">
      <c r="A481" s="3">
        <v>45198</v>
      </c>
      <c r="B481" s="1">
        <v>0</v>
      </c>
      <c r="C481" s="1">
        <v>17385.4575</v>
      </c>
      <c r="D481" s="1"/>
    </row>
    <row r="482" spans="1:4">
      <c r="A482" s="3">
        <v>45202</v>
      </c>
      <c r="B482" s="1">
        <v>72840.942899999995</v>
      </c>
      <c r="C482" s="1">
        <v>0</v>
      </c>
      <c r="D482" s="1"/>
    </row>
    <row r="483" spans="1:4">
      <c r="A483" s="3">
        <v>45203</v>
      </c>
      <c r="B483" s="1">
        <v>44861.791100000002</v>
      </c>
      <c r="C483" s="1">
        <v>0</v>
      </c>
      <c r="D483" s="1"/>
    </row>
    <row r="484" spans="1:4">
      <c r="A484" s="3">
        <v>45204</v>
      </c>
      <c r="B484" s="1">
        <v>6025.9781999999996</v>
      </c>
      <c r="C484" s="1">
        <v>0</v>
      </c>
      <c r="D484" s="1"/>
    </row>
    <row r="485" spans="1:4">
      <c r="A485" s="3">
        <v>45205</v>
      </c>
      <c r="B485" s="1">
        <v>0</v>
      </c>
      <c r="C485" s="1">
        <v>9953.9851999999992</v>
      </c>
      <c r="D485" s="1"/>
    </row>
    <row r="486" spans="1:4">
      <c r="A486" s="3">
        <v>45208</v>
      </c>
      <c r="B486" s="1">
        <v>12532.297200000001</v>
      </c>
      <c r="C486" s="1">
        <v>0</v>
      </c>
      <c r="D486" s="1"/>
    </row>
    <row r="487" spans="1:4">
      <c r="A487" s="3">
        <v>45209</v>
      </c>
      <c r="B487" s="1">
        <v>0</v>
      </c>
      <c r="C487" s="1">
        <v>31800.819899999999</v>
      </c>
      <c r="D487" s="1"/>
    </row>
    <row r="488" spans="1:4">
      <c r="A488" s="3">
        <v>45210</v>
      </c>
      <c r="B488" s="1">
        <v>71416.876799999998</v>
      </c>
      <c r="C488" s="1">
        <v>0</v>
      </c>
      <c r="D488" s="1"/>
    </row>
    <row r="489" spans="1:4">
      <c r="A489" s="3">
        <v>45211</v>
      </c>
      <c r="B489" s="1">
        <v>0</v>
      </c>
      <c r="C489" s="1">
        <v>12234.7564</v>
      </c>
      <c r="D489" s="1"/>
    </row>
    <row r="490" spans="1:4">
      <c r="A490" s="3">
        <v>45212</v>
      </c>
      <c r="B490" s="1">
        <v>0</v>
      </c>
      <c r="C490" s="1">
        <v>4131.4585999999999</v>
      </c>
      <c r="D490" s="1"/>
    </row>
    <row r="491" spans="1:4">
      <c r="A491" s="3">
        <v>45215</v>
      </c>
      <c r="B491" s="1">
        <v>0</v>
      </c>
      <c r="C491" s="1">
        <v>5075.9804999999997</v>
      </c>
      <c r="D491" s="1"/>
    </row>
    <row r="492" spans="1:4">
      <c r="A492" s="3">
        <v>45216</v>
      </c>
      <c r="B492" s="1">
        <v>85923.524900000004</v>
      </c>
      <c r="C492" s="1">
        <v>0</v>
      </c>
      <c r="D492" s="1"/>
    </row>
    <row r="493" spans="1:4">
      <c r="A493" s="3">
        <v>45217</v>
      </c>
      <c r="B493" s="1">
        <v>18130.124199999998</v>
      </c>
      <c r="C493" s="1">
        <v>0</v>
      </c>
      <c r="D493" s="1"/>
    </row>
    <row r="494" spans="1:4">
      <c r="A494" s="3">
        <v>45218</v>
      </c>
      <c r="B494" s="1">
        <v>0</v>
      </c>
      <c r="C494" s="1">
        <v>18944.0965</v>
      </c>
      <c r="D494" s="1"/>
    </row>
    <row r="495" spans="1:4">
      <c r="A495" s="3">
        <v>45219</v>
      </c>
      <c r="B495" s="1">
        <v>0</v>
      </c>
      <c r="C495" s="1">
        <v>14491.136699999999</v>
      </c>
      <c r="D495" s="1"/>
    </row>
    <row r="496" spans="1:4">
      <c r="A496" s="3">
        <v>45222</v>
      </c>
      <c r="B496" s="1">
        <v>28460.792399999998</v>
      </c>
      <c r="C496" s="1">
        <v>0</v>
      </c>
      <c r="D496" s="1"/>
    </row>
    <row r="497" spans="1:4">
      <c r="A497" s="3">
        <v>45224</v>
      </c>
      <c r="B497" s="1">
        <v>977.07389999999998</v>
      </c>
      <c r="C497" s="1">
        <v>0</v>
      </c>
      <c r="D497" s="1"/>
    </row>
    <row r="498" spans="1:4">
      <c r="A498" s="3">
        <v>45225</v>
      </c>
      <c r="B498" s="1">
        <v>0</v>
      </c>
      <c r="C498" s="1">
        <v>10673.113600000001</v>
      </c>
      <c r="D498" s="1"/>
    </row>
    <row r="499" spans="1:4">
      <c r="A499" s="3">
        <v>45226</v>
      </c>
      <c r="B499" s="1">
        <v>0</v>
      </c>
      <c r="C499" s="1">
        <v>2598.8627000000001</v>
      </c>
      <c r="D499" s="1"/>
    </row>
    <row r="500" spans="1:4">
      <c r="A500" s="3">
        <v>45229</v>
      </c>
      <c r="B500" s="1">
        <v>0</v>
      </c>
      <c r="C500" s="1">
        <v>17303.847600000001</v>
      </c>
      <c r="D500" s="1"/>
    </row>
    <row r="501" spans="1:4">
      <c r="A501" s="3">
        <v>45230</v>
      </c>
      <c r="B501" s="1">
        <v>0</v>
      </c>
      <c r="C501" s="1">
        <v>8611.5277999999998</v>
      </c>
      <c r="D501" s="1"/>
    </row>
    <row r="502" spans="1:4">
      <c r="A502" s="3">
        <v>45231</v>
      </c>
      <c r="B502" s="1">
        <v>0</v>
      </c>
      <c r="C502" s="1">
        <v>25371.106199999998</v>
      </c>
      <c r="D502" s="1"/>
    </row>
    <row r="503" spans="1:4">
      <c r="A503" s="3">
        <v>44968</v>
      </c>
      <c r="B503" s="1">
        <v>19034.168799999999</v>
      </c>
      <c r="C503" s="1">
        <v>0</v>
      </c>
      <c r="D503" s="1"/>
    </row>
    <row r="504" spans="1:4">
      <c r="A504" s="3">
        <v>45233</v>
      </c>
      <c r="B504" s="1">
        <v>0</v>
      </c>
      <c r="C504" s="1">
        <v>407.60489999999999</v>
      </c>
      <c r="D504" s="1"/>
    </row>
    <row r="505" spans="1:4">
      <c r="A505" s="3">
        <v>45236</v>
      </c>
      <c r="B505" s="1">
        <v>15607.130499999999</v>
      </c>
      <c r="C505" s="1">
        <v>0</v>
      </c>
      <c r="D505" s="1"/>
    </row>
    <row r="506" spans="1:4">
      <c r="A506" s="3">
        <v>45237</v>
      </c>
      <c r="B506" s="1">
        <v>0</v>
      </c>
      <c r="C506" s="1">
        <v>21993.8822</v>
      </c>
      <c r="D506" s="1"/>
    </row>
    <row r="507" spans="1:4">
      <c r="A507" s="3">
        <v>45238</v>
      </c>
      <c r="B507" s="1">
        <v>64125.778400000003</v>
      </c>
      <c r="C507" s="1">
        <v>0</v>
      </c>
      <c r="D507" s="1"/>
    </row>
    <row r="508" spans="1:4">
      <c r="A508" s="3">
        <v>45239</v>
      </c>
      <c r="B508" s="1">
        <v>0</v>
      </c>
      <c r="C508" s="1">
        <v>20029.0628</v>
      </c>
      <c r="D508" s="1"/>
    </row>
    <row r="509" spans="1:4">
      <c r="A509" s="3">
        <v>45240</v>
      </c>
      <c r="B509" s="1">
        <v>0</v>
      </c>
      <c r="C509" s="1">
        <v>21809.6682</v>
      </c>
      <c r="D509" s="1"/>
    </row>
    <row r="510" spans="1:4">
      <c r="A510" s="3">
        <v>45245</v>
      </c>
      <c r="B510" s="1">
        <v>0</v>
      </c>
      <c r="C510" s="1">
        <v>668.44780000000003</v>
      </c>
      <c r="D510" s="1"/>
    </row>
    <row r="511" spans="1:4">
      <c r="A511" s="1" t="s">
        <v>39</v>
      </c>
      <c r="B511" s="1">
        <v>21069.7245</v>
      </c>
      <c r="C511" s="1">
        <v>0</v>
      </c>
      <c r="D511" s="1"/>
    </row>
    <row r="512" spans="1:4">
      <c r="A512" s="1" t="s">
        <v>40</v>
      </c>
      <c r="B512" s="1">
        <v>0</v>
      </c>
      <c r="C512" s="1">
        <v>4853.3633</v>
      </c>
      <c r="D512" s="1"/>
    </row>
    <row r="513" spans="1:4">
      <c r="A513" s="1" t="s">
        <v>41</v>
      </c>
      <c r="B513" s="1">
        <v>0</v>
      </c>
      <c r="C513" s="1">
        <v>13998.681</v>
      </c>
      <c r="D513" s="1"/>
    </row>
    <row r="514" spans="1:4">
      <c r="A514" s="1" t="s">
        <v>42</v>
      </c>
      <c r="B514" s="1">
        <v>31899.391199999998</v>
      </c>
      <c r="C514" s="1">
        <v>0</v>
      </c>
      <c r="D514" s="1"/>
    </row>
    <row r="515" spans="1:4">
      <c r="A515" s="1" t="s">
        <v>43</v>
      </c>
      <c r="B515" s="1">
        <v>8998.2124000000003</v>
      </c>
      <c r="C515" s="1">
        <v>0</v>
      </c>
      <c r="D515" s="1"/>
    </row>
    <row r="516" spans="1:4">
      <c r="A516" s="1" t="s">
        <v>44</v>
      </c>
      <c r="B516" s="1">
        <v>0</v>
      </c>
      <c r="C516" s="1">
        <v>14968.8598</v>
      </c>
      <c r="D516" s="1"/>
    </row>
    <row r="517" spans="1:4">
      <c r="A517" s="1" t="s">
        <v>45</v>
      </c>
      <c r="B517" s="1">
        <v>65004.939700000003</v>
      </c>
      <c r="C517" s="1">
        <v>0</v>
      </c>
      <c r="D517" s="1"/>
    </row>
    <row r="518" spans="1:4">
      <c r="A518" s="1" t="s">
        <v>46</v>
      </c>
      <c r="B518" s="1">
        <v>0</v>
      </c>
      <c r="C518" s="1">
        <v>9106.5972999999994</v>
      </c>
      <c r="D518" s="1"/>
    </row>
    <row r="519" spans="1:4">
      <c r="A519" s="3">
        <v>45259</v>
      </c>
      <c r="B519" s="1">
        <v>0</v>
      </c>
      <c r="C519" s="1">
        <v>9356.2764000000006</v>
      </c>
      <c r="D519" s="1"/>
    </row>
    <row r="520" spans="1:4">
      <c r="A520" s="3">
        <v>45260</v>
      </c>
      <c r="B520" s="1">
        <v>0</v>
      </c>
      <c r="C520" s="1">
        <v>9650.4230000000007</v>
      </c>
      <c r="D520" s="1"/>
    </row>
    <row r="521" spans="1:4">
      <c r="A521" s="3">
        <v>45261</v>
      </c>
      <c r="B521" s="1">
        <v>6400.3122000000003</v>
      </c>
      <c r="C521" s="1">
        <v>0</v>
      </c>
      <c r="D521" s="1"/>
    </row>
    <row r="522" spans="1:4">
      <c r="A522" s="3">
        <v>45264</v>
      </c>
      <c r="B522" s="1">
        <v>0</v>
      </c>
      <c r="C522" s="1">
        <v>6198.2331000000004</v>
      </c>
      <c r="D522" s="1"/>
    </row>
    <row r="523" spans="1:4">
      <c r="A523" s="3">
        <v>45265</v>
      </c>
      <c r="B523" s="1">
        <v>0</v>
      </c>
      <c r="C523" s="1">
        <v>109.5705</v>
      </c>
      <c r="D523" s="1"/>
    </row>
    <row r="524" spans="1:4">
      <c r="A524" s="3">
        <v>45266</v>
      </c>
      <c r="B524" s="1">
        <v>0</v>
      </c>
      <c r="C524" s="1">
        <v>12052.235000000001</v>
      </c>
      <c r="D524" s="1"/>
    </row>
    <row r="525" spans="1:4">
      <c r="A525" s="3">
        <v>45267</v>
      </c>
      <c r="B525" s="1">
        <v>48942.6342</v>
      </c>
      <c r="C525" s="1">
        <v>0</v>
      </c>
      <c r="D525" s="1"/>
    </row>
    <row r="526" spans="1:4">
      <c r="A526" s="3">
        <v>45268</v>
      </c>
      <c r="B526" s="1">
        <v>0</v>
      </c>
      <c r="C526" s="1">
        <v>8273.6232</v>
      </c>
      <c r="D526" s="1"/>
    </row>
    <row r="527" spans="1:4">
      <c r="A527" s="3">
        <v>45271</v>
      </c>
      <c r="B527" s="1">
        <v>14804.794900000001</v>
      </c>
      <c r="C527" s="1">
        <v>0</v>
      </c>
      <c r="D527" s="1"/>
    </row>
    <row r="528" spans="1:4">
      <c r="A528" s="3">
        <v>45272</v>
      </c>
      <c r="B528" s="1">
        <v>0</v>
      </c>
      <c r="C528" s="1">
        <v>13321.430200000001</v>
      </c>
      <c r="D528" s="1"/>
    </row>
    <row r="529" spans="1:4">
      <c r="A529" s="3">
        <v>45273</v>
      </c>
      <c r="B529" s="1">
        <v>27810.373599999999</v>
      </c>
      <c r="C529" s="1">
        <v>0</v>
      </c>
      <c r="D529" s="1"/>
    </row>
    <row r="530" spans="1:4">
      <c r="A530" s="3">
        <v>45274</v>
      </c>
      <c r="B530" s="1">
        <v>20120.395499999999</v>
      </c>
      <c r="C530" s="1">
        <v>0</v>
      </c>
      <c r="D530" s="1"/>
    </row>
    <row r="531" spans="1:4">
      <c r="A531" s="1" t="s">
        <v>47</v>
      </c>
      <c r="B531" s="1">
        <v>291.91059999999999</v>
      </c>
      <c r="C531" s="1">
        <v>0</v>
      </c>
      <c r="D531" s="1"/>
    </row>
    <row r="532" spans="1:4">
      <c r="A532" s="1" t="s">
        <v>48</v>
      </c>
      <c r="B532" s="1">
        <v>14754.1731</v>
      </c>
      <c r="C532" s="1">
        <v>0</v>
      </c>
      <c r="D532" s="1"/>
    </row>
    <row r="533" spans="1:4">
      <c r="A533" s="1" t="s">
        <v>49</v>
      </c>
      <c r="B533" s="1">
        <v>0</v>
      </c>
      <c r="C533" s="1">
        <v>21169.479200000002</v>
      </c>
      <c r="D533" s="1"/>
    </row>
    <row r="534" spans="1:4">
      <c r="A534" s="1" t="s">
        <v>50</v>
      </c>
      <c r="B534" s="1">
        <v>0</v>
      </c>
      <c r="C534" s="1">
        <v>17059.803500000002</v>
      </c>
      <c r="D534" s="1"/>
    </row>
    <row r="535" spans="1:4">
      <c r="A535" s="1" t="s">
        <v>51</v>
      </c>
      <c r="B535" s="1">
        <v>0</v>
      </c>
      <c r="C535" s="1">
        <v>12227.8465</v>
      </c>
      <c r="D535" s="1"/>
    </row>
    <row r="536" spans="1:4">
      <c r="A536" s="1" t="s">
        <v>52</v>
      </c>
      <c r="B536" s="1">
        <v>20577.816900000002</v>
      </c>
      <c r="C536" s="1">
        <v>0</v>
      </c>
      <c r="D536" s="1"/>
    </row>
    <row r="537" spans="1:4">
      <c r="A537" s="1" t="s">
        <v>53</v>
      </c>
      <c r="B537" s="1">
        <v>0</v>
      </c>
      <c r="C537" s="1">
        <v>36199.3537</v>
      </c>
      <c r="D537" s="1"/>
    </row>
    <row r="538" spans="1:4">
      <c r="A538" s="1" t="s">
        <v>54</v>
      </c>
      <c r="B538" s="1">
        <v>0</v>
      </c>
      <c r="C538" s="1">
        <v>20452.728800000001</v>
      </c>
      <c r="D538" s="1"/>
    </row>
    <row r="539" spans="1:4">
      <c r="A539" s="1" t="s">
        <v>55</v>
      </c>
      <c r="B539" s="1">
        <v>0</v>
      </c>
      <c r="C539" s="1">
        <v>34953.304900000003</v>
      </c>
      <c r="D539" s="1"/>
    </row>
    <row r="540" spans="1:4">
      <c r="A540" s="3">
        <v>45289</v>
      </c>
      <c r="B540" s="1">
        <v>0</v>
      </c>
      <c r="C540" s="1">
        <v>17360.100600000002</v>
      </c>
      <c r="D540" s="1"/>
    </row>
    <row r="541" spans="1:4">
      <c r="A541" s="3">
        <v>45292</v>
      </c>
      <c r="B541" s="1">
        <v>0</v>
      </c>
      <c r="C541" s="1">
        <v>566.52369999999996</v>
      </c>
      <c r="D541" s="1"/>
    </row>
    <row r="542" spans="1:4">
      <c r="A542" s="3">
        <v>45293</v>
      </c>
      <c r="B542" s="1">
        <v>89021.260899999994</v>
      </c>
      <c r="C542" s="1">
        <v>0</v>
      </c>
      <c r="D542" s="1"/>
    </row>
    <row r="543" spans="1:4">
      <c r="A543" s="3">
        <v>45294</v>
      </c>
      <c r="B543" s="1">
        <v>0</v>
      </c>
      <c r="C543" s="1">
        <v>384.3562</v>
      </c>
      <c r="D543" s="1"/>
    </row>
    <row r="544" spans="1:4">
      <c r="A544" s="3">
        <v>45295</v>
      </c>
      <c r="B544" s="1">
        <v>3017.1720999999998</v>
      </c>
      <c r="C544" s="1">
        <v>0</v>
      </c>
      <c r="D544" s="1"/>
    </row>
    <row r="545" spans="1:4">
      <c r="A545" s="3">
        <v>45296</v>
      </c>
      <c r="B545" s="1">
        <v>0</v>
      </c>
      <c r="C545" s="1">
        <v>4310.7285000000002</v>
      </c>
      <c r="D545" s="1"/>
    </row>
    <row r="546" spans="1:4">
      <c r="A546" s="3">
        <v>45299</v>
      </c>
      <c r="B546" s="1">
        <v>0</v>
      </c>
      <c r="C546" s="1">
        <v>4111.3874999999998</v>
      </c>
      <c r="D546" s="1"/>
    </row>
    <row r="547" spans="1:4">
      <c r="A547" s="3">
        <v>45300</v>
      </c>
      <c r="B547" s="1">
        <v>0</v>
      </c>
      <c r="C547" s="1">
        <v>22790.770700000001</v>
      </c>
      <c r="D547" s="1"/>
    </row>
    <row r="548" spans="1:4">
      <c r="A548" s="3">
        <v>45301</v>
      </c>
      <c r="B548" s="1">
        <v>24377.1302</v>
      </c>
      <c r="C548" s="1">
        <v>0</v>
      </c>
      <c r="D548" s="1"/>
    </row>
    <row r="549" spans="1:4">
      <c r="A549" s="3">
        <v>45302</v>
      </c>
      <c r="B549" s="1">
        <v>0</v>
      </c>
      <c r="C549" s="1">
        <v>20047.8017</v>
      </c>
      <c r="D549" s="1"/>
    </row>
    <row r="550" spans="1:4">
      <c r="A550" s="3">
        <v>45303</v>
      </c>
      <c r="B550" s="1">
        <v>0</v>
      </c>
      <c r="C550" s="1">
        <v>16682.501499999998</v>
      </c>
      <c r="D550" s="1"/>
    </row>
    <row r="551" spans="1:4">
      <c r="A551" s="3">
        <v>45306</v>
      </c>
      <c r="B551" s="1">
        <v>15425.4712</v>
      </c>
      <c r="C551" s="1">
        <v>0</v>
      </c>
      <c r="D551" s="1"/>
    </row>
    <row r="552" spans="1:4">
      <c r="A552" s="1" t="s">
        <v>56</v>
      </c>
      <c r="B552" s="1">
        <v>0</v>
      </c>
      <c r="C552" s="1">
        <v>21522.356</v>
      </c>
      <c r="D552" s="1"/>
    </row>
    <row r="553" spans="1:4">
      <c r="A553" s="1" t="s">
        <v>57</v>
      </c>
      <c r="B553" s="1">
        <v>0</v>
      </c>
      <c r="C553" s="1">
        <v>31951.554</v>
      </c>
      <c r="D553" s="1"/>
    </row>
    <row r="554" spans="1:4">
      <c r="A554" s="1" t="s">
        <v>58</v>
      </c>
      <c r="B554" s="1">
        <v>0</v>
      </c>
      <c r="C554" s="1">
        <v>43312.864099999999</v>
      </c>
      <c r="D554" s="1"/>
    </row>
    <row r="555" spans="1:4">
      <c r="A555" s="1" t="s">
        <v>59</v>
      </c>
      <c r="B555" s="1">
        <v>0</v>
      </c>
      <c r="C555" s="1">
        <v>36361.3966</v>
      </c>
      <c r="D555" s="1"/>
    </row>
    <row r="556" spans="1:4">
      <c r="A556" s="1" t="s">
        <v>60</v>
      </c>
      <c r="B556" s="1">
        <v>64413.8033</v>
      </c>
      <c r="C556" s="1">
        <v>0</v>
      </c>
      <c r="D556" s="1"/>
    </row>
    <row r="557" spans="1:4">
      <c r="A557" s="1" t="s">
        <v>61</v>
      </c>
      <c r="B557" s="1">
        <v>0</v>
      </c>
      <c r="C557" s="1">
        <v>74894.834099999993</v>
      </c>
      <c r="D557" s="1"/>
    </row>
    <row r="558" spans="1:4">
      <c r="A558" s="1" t="s">
        <v>62</v>
      </c>
      <c r="B558" s="1">
        <v>0</v>
      </c>
      <c r="C558" s="1">
        <v>33787.495499999997</v>
      </c>
      <c r="D558" s="1"/>
    </row>
    <row r="559" spans="1:4">
      <c r="A559" s="3">
        <v>45316</v>
      </c>
      <c r="B559" s="1">
        <v>0</v>
      </c>
      <c r="C559" s="1">
        <v>20373.0177</v>
      </c>
      <c r="D559" s="1"/>
    </row>
    <row r="560" spans="1:4">
      <c r="A560" s="3">
        <v>45320</v>
      </c>
      <c r="B560" s="1">
        <v>0</v>
      </c>
      <c r="C560" s="1">
        <v>54597.712299999999</v>
      </c>
      <c r="D560" s="1"/>
    </row>
    <row r="561" spans="1:4">
      <c r="A561" s="3">
        <v>45321</v>
      </c>
      <c r="B561" s="1">
        <v>313893.64870000002</v>
      </c>
      <c r="C561" s="1">
        <v>0</v>
      </c>
      <c r="D561" s="1"/>
    </row>
    <row r="562" spans="1:4">
      <c r="A562" s="3">
        <v>45322</v>
      </c>
      <c r="B562" s="1">
        <v>149228.7874</v>
      </c>
      <c r="C562" s="1">
        <v>0</v>
      </c>
      <c r="D562" s="1"/>
    </row>
    <row r="563" spans="1:4">
      <c r="A563" s="3">
        <v>45323</v>
      </c>
      <c r="B563" s="1">
        <v>26833.9323</v>
      </c>
      <c r="C563" s="1">
        <v>0</v>
      </c>
      <c r="D563" s="1"/>
    </row>
    <row r="564" spans="1:4">
      <c r="A564" s="3">
        <v>45324</v>
      </c>
      <c r="B564" s="1">
        <v>0</v>
      </c>
      <c r="C564" s="1">
        <v>1177.3409999999999</v>
      </c>
      <c r="D564" s="1"/>
    </row>
    <row r="565" spans="1:4">
      <c r="A565" s="3">
        <v>45327</v>
      </c>
      <c r="B565" s="1">
        <v>0</v>
      </c>
      <c r="C565" s="1">
        <v>4539.0654999999997</v>
      </c>
      <c r="D565" s="1"/>
    </row>
    <row r="566" spans="1:4">
      <c r="A566" s="3">
        <v>45328</v>
      </c>
      <c r="B566" s="1">
        <v>57916.322200000002</v>
      </c>
      <c r="C566" s="1">
        <v>0</v>
      </c>
      <c r="D566" s="1"/>
    </row>
    <row r="567" spans="1:4">
      <c r="A567" s="3">
        <v>45329</v>
      </c>
      <c r="B567" s="1">
        <v>44635.599099999999</v>
      </c>
      <c r="C567" s="1">
        <v>0</v>
      </c>
      <c r="D567" s="1"/>
    </row>
    <row r="568" spans="1:4">
      <c r="A568" s="3">
        <v>45330</v>
      </c>
      <c r="B568" s="1">
        <v>0</v>
      </c>
      <c r="C568" s="1">
        <v>7403.2819</v>
      </c>
      <c r="D568" s="1"/>
    </row>
    <row r="569" spans="1:4">
      <c r="A569" s="3">
        <v>45331</v>
      </c>
      <c r="B569" s="1">
        <v>0</v>
      </c>
      <c r="C569" s="1">
        <v>11134.094499999999</v>
      </c>
      <c r="D569" s="1"/>
    </row>
    <row r="570" spans="1:4">
      <c r="A570" s="3">
        <v>45628</v>
      </c>
      <c r="B570" s="1">
        <v>0</v>
      </c>
      <c r="C570" s="1">
        <v>18119.28</v>
      </c>
      <c r="D570" s="1"/>
    </row>
    <row r="571" spans="1:4">
      <c r="A571" s="1" t="s">
        <v>63</v>
      </c>
      <c r="B571" s="1">
        <v>0</v>
      </c>
      <c r="C571" s="1">
        <v>9912.6118999999999</v>
      </c>
      <c r="D571" s="1"/>
    </row>
    <row r="572" spans="1:4">
      <c r="A572" s="1" t="s">
        <v>64</v>
      </c>
      <c r="B572" s="1">
        <v>0</v>
      </c>
      <c r="C572" s="1">
        <v>57029.886899999998</v>
      </c>
      <c r="D572" s="1"/>
    </row>
    <row r="573" spans="1:4">
      <c r="A573" s="1" t="s">
        <v>65</v>
      </c>
      <c r="B573" s="1">
        <v>72401.037899999996</v>
      </c>
      <c r="C573" s="1">
        <v>0</v>
      </c>
      <c r="D573" s="1"/>
    </row>
    <row r="574" spans="1:4">
      <c r="A574" s="1" t="s">
        <v>66</v>
      </c>
      <c r="B574" s="1">
        <v>20685.1541</v>
      </c>
      <c r="C574" s="1">
        <v>0</v>
      </c>
      <c r="D574" s="1"/>
    </row>
    <row r="575" spans="1:4">
      <c r="A575" s="1" t="s">
        <v>67</v>
      </c>
      <c r="B575" s="1">
        <v>8382.4503999999997</v>
      </c>
      <c r="C575" s="1">
        <v>0</v>
      </c>
      <c r="D575" s="1"/>
    </row>
    <row r="576" spans="1:4">
      <c r="A576" s="1" t="s">
        <v>68</v>
      </c>
      <c r="B576" s="1">
        <v>2973.3885</v>
      </c>
      <c r="C576" s="1">
        <v>0</v>
      </c>
      <c r="D576" s="1"/>
    </row>
    <row r="577" spans="1:4">
      <c r="A577" s="1" t="s">
        <v>69</v>
      </c>
      <c r="B577" s="1">
        <v>0</v>
      </c>
      <c r="C577" s="1">
        <v>4300.9228000000003</v>
      </c>
      <c r="D577" s="1"/>
    </row>
    <row r="578" spans="1:4">
      <c r="A578" s="3">
        <v>45344</v>
      </c>
      <c r="B578" s="1">
        <v>2839.1365999999998</v>
      </c>
      <c r="C578" s="1">
        <v>0</v>
      </c>
      <c r="D578" s="1"/>
    </row>
    <row r="579" spans="1:4">
      <c r="A579" s="3">
        <v>45345</v>
      </c>
      <c r="B579" s="1">
        <v>21523.541300000001</v>
      </c>
      <c r="C579" s="1">
        <v>0</v>
      </c>
      <c r="D579" s="1"/>
    </row>
    <row r="580" spans="1:4">
      <c r="A580" s="3">
        <v>45348</v>
      </c>
      <c r="B580" s="1">
        <v>11185.023499999999</v>
      </c>
      <c r="C580" s="1">
        <v>0</v>
      </c>
      <c r="D580" s="1"/>
    </row>
    <row r="581" spans="1:4">
      <c r="A581" s="3">
        <v>45349</v>
      </c>
      <c r="B581" s="1">
        <v>0</v>
      </c>
      <c r="C581" s="1">
        <v>2117.8658</v>
      </c>
      <c r="D581" s="1"/>
    </row>
    <row r="582" spans="1:4">
      <c r="A582" s="3">
        <v>45350</v>
      </c>
      <c r="B582" s="1">
        <v>0</v>
      </c>
      <c r="C582" s="1">
        <v>3341.5916000000002</v>
      </c>
      <c r="D582" s="1"/>
    </row>
    <row r="583" spans="1:4">
      <c r="A583" s="3">
        <v>45351</v>
      </c>
      <c r="B583" s="1">
        <v>38218.253400000001</v>
      </c>
      <c r="C583" s="1">
        <v>0</v>
      </c>
      <c r="D583" s="1"/>
    </row>
    <row r="584" spans="1:4">
      <c r="A584" s="3">
        <v>45352</v>
      </c>
      <c r="B584" s="1">
        <v>0</v>
      </c>
      <c r="C584" s="1">
        <v>311.04020000000003</v>
      </c>
      <c r="D584" s="1"/>
    </row>
    <row r="585" spans="1:4">
      <c r="A585" s="3">
        <v>45355</v>
      </c>
      <c r="B585" s="1">
        <v>1215.2483</v>
      </c>
      <c r="C585" s="1">
        <v>0</v>
      </c>
      <c r="D585" s="1"/>
    </row>
    <row r="586" spans="1:4">
      <c r="A586" s="3">
        <v>45356</v>
      </c>
      <c r="B586" s="1">
        <v>0</v>
      </c>
      <c r="C586" s="1">
        <v>4010.8573000000001</v>
      </c>
      <c r="D586" s="1"/>
    </row>
    <row r="587" spans="1:4">
      <c r="A587" s="3">
        <v>45357</v>
      </c>
      <c r="B587" s="1">
        <v>12215.365</v>
      </c>
      <c r="C587" s="1">
        <v>0</v>
      </c>
      <c r="D587" s="1"/>
    </row>
    <row r="588" spans="1:4">
      <c r="A588" s="3">
        <v>45358</v>
      </c>
      <c r="B588" s="1">
        <v>0</v>
      </c>
      <c r="C588" s="1">
        <v>6617.4737999999998</v>
      </c>
      <c r="D588" s="1"/>
    </row>
    <row r="589" spans="1:4">
      <c r="A589" s="3">
        <v>45362</v>
      </c>
      <c r="B589" s="1">
        <v>0</v>
      </c>
      <c r="C589" s="1">
        <v>5501.4058999999997</v>
      </c>
      <c r="D589" s="1"/>
    </row>
    <row r="590" spans="1:4">
      <c r="A590" s="3">
        <v>45629</v>
      </c>
      <c r="B590" s="1">
        <v>43761.424500000001</v>
      </c>
      <c r="C590" s="1">
        <v>0</v>
      </c>
      <c r="D590" s="1"/>
    </row>
    <row r="591" spans="1:4">
      <c r="A591" s="1" t="s">
        <v>70</v>
      </c>
      <c r="B591" s="1">
        <v>541.23620000000005</v>
      </c>
      <c r="C591" s="1">
        <v>0</v>
      </c>
      <c r="D591" s="1"/>
    </row>
    <row r="592" spans="1:4">
      <c r="A592" s="1" t="s">
        <v>71</v>
      </c>
      <c r="B592" s="1">
        <v>0</v>
      </c>
      <c r="C592" s="1">
        <v>2131.0781999999999</v>
      </c>
      <c r="D592" s="1"/>
    </row>
    <row r="593" spans="1:4">
      <c r="A593" s="1" t="s">
        <v>72</v>
      </c>
      <c r="B593" s="1">
        <v>0</v>
      </c>
      <c r="C593" s="1">
        <v>2673.3026</v>
      </c>
      <c r="D593" s="1"/>
    </row>
    <row r="594" spans="1:4">
      <c r="A594" s="1" t="s">
        <v>73</v>
      </c>
      <c r="B594" s="1">
        <v>0</v>
      </c>
      <c r="C594" s="1">
        <v>10430.712600000001</v>
      </c>
      <c r="D594" s="1"/>
    </row>
    <row r="595" spans="1:4">
      <c r="A595" s="1" t="s">
        <v>74</v>
      </c>
      <c r="B595" s="1">
        <v>27450.488799999999</v>
      </c>
      <c r="C595" s="1">
        <v>0</v>
      </c>
      <c r="D595" s="1"/>
    </row>
    <row r="596" spans="1:4">
      <c r="A596" s="1" t="s">
        <v>75</v>
      </c>
      <c r="B596" s="1">
        <v>19346.090499999998</v>
      </c>
      <c r="C596" s="1">
        <v>0</v>
      </c>
      <c r="D596" s="1"/>
    </row>
    <row r="597" spans="1:4">
      <c r="A597" s="1" t="s">
        <v>76</v>
      </c>
      <c r="B597" s="1">
        <v>8170.2884000000004</v>
      </c>
      <c r="C597" s="1">
        <v>0</v>
      </c>
      <c r="D597" s="1"/>
    </row>
    <row r="598" spans="1:4">
      <c r="A598" s="1" t="s">
        <v>77</v>
      </c>
      <c r="B598" s="1">
        <v>0</v>
      </c>
      <c r="C598" s="1">
        <v>202.49520000000001</v>
      </c>
      <c r="D598" s="1"/>
    </row>
    <row r="599" spans="1:4">
      <c r="A599" s="1" t="s">
        <v>78</v>
      </c>
      <c r="B599" s="1">
        <v>0</v>
      </c>
      <c r="C599" s="1">
        <v>21531.787100000001</v>
      </c>
      <c r="D599" s="1"/>
    </row>
    <row r="600" spans="1:4">
      <c r="A600" s="3">
        <v>45378</v>
      </c>
      <c r="B600" s="1">
        <v>0</v>
      </c>
      <c r="C600" s="1">
        <v>17199.845399999998</v>
      </c>
      <c r="D600" s="1"/>
    </row>
    <row r="601" spans="1:4">
      <c r="A601" s="3">
        <v>45379</v>
      </c>
      <c r="B601" s="1">
        <v>0</v>
      </c>
      <c r="C601" s="1">
        <v>69689.229200000002</v>
      </c>
      <c r="D601" s="1"/>
    </row>
    <row r="602" spans="1:4">
      <c r="A602" s="3">
        <v>45383</v>
      </c>
      <c r="B602" s="1">
        <v>0</v>
      </c>
      <c r="C602" s="1">
        <v>31738.598099999999</v>
      </c>
      <c r="D602" s="1"/>
    </row>
    <row r="603" spans="1:4">
      <c r="A603" s="3">
        <v>45384</v>
      </c>
      <c r="B603" s="1">
        <v>111163.5895</v>
      </c>
      <c r="C603" s="1">
        <v>0</v>
      </c>
      <c r="D603" s="1"/>
    </row>
    <row r="604" spans="1:4">
      <c r="A604" s="3">
        <v>45385</v>
      </c>
      <c r="B604" s="1">
        <v>667.49760000000003</v>
      </c>
      <c r="C604" s="1">
        <v>0</v>
      </c>
      <c r="D604" s="1"/>
    </row>
    <row r="605" spans="1:4">
      <c r="A605" s="3">
        <v>45386</v>
      </c>
      <c r="B605" s="1">
        <v>0</v>
      </c>
      <c r="C605" s="1">
        <v>290.3997</v>
      </c>
      <c r="D605" s="1"/>
    </row>
    <row r="606" spans="1:4">
      <c r="A606" s="3">
        <v>45387</v>
      </c>
      <c r="B606" s="1">
        <v>7915.5502999999999</v>
      </c>
      <c r="C606" s="1">
        <v>0</v>
      </c>
      <c r="D606" s="1"/>
    </row>
    <row r="607" spans="1:4">
      <c r="A607" s="3">
        <v>45390</v>
      </c>
      <c r="B607" s="1">
        <v>8139.2509</v>
      </c>
      <c r="C607" s="1">
        <v>0</v>
      </c>
      <c r="D607" s="1"/>
    </row>
    <row r="608" spans="1:4">
      <c r="A608" s="3">
        <v>45394</v>
      </c>
      <c r="B608" s="1">
        <v>0</v>
      </c>
      <c r="C608" s="1">
        <v>14592.7045</v>
      </c>
      <c r="D608" s="1"/>
    </row>
    <row r="609" spans="1:4">
      <c r="A609" s="3">
        <v>45397</v>
      </c>
      <c r="B609" s="1">
        <v>0</v>
      </c>
      <c r="C609" s="1">
        <v>59911.705300000001</v>
      </c>
      <c r="D609" s="1"/>
    </row>
    <row r="610" spans="1:4">
      <c r="A610" s="3">
        <v>45398</v>
      </c>
      <c r="B610" s="1">
        <v>0</v>
      </c>
      <c r="C610" s="1">
        <v>39513.994700000003</v>
      </c>
      <c r="D610" s="1"/>
    </row>
    <row r="611" spans="1:4">
      <c r="A611" s="3">
        <v>45400</v>
      </c>
      <c r="B611" s="1">
        <v>0</v>
      </c>
      <c r="C611" s="1">
        <v>154305.00539999999</v>
      </c>
      <c r="D611" s="1"/>
    </row>
    <row r="612" spans="1:4">
      <c r="A612" s="1" t="s">
        <v>79</v>
      </c>
      <c r="B612" s="1">
        <v>0</v>
      </c>
      <c r="C612" s="1">
        <v>290925.99290000001</v>
      </c>
      <c r="D612" s="1"/>
    </row>
    <row r="613" spans="1:4">
      <c r="A613" s="1" t="s">
        <v>80</v>
      </c>
      <c r="B613" s="1">
        <v>0</v>
      </c>
      <c r="C613" s="1">
        <v>173601.6833</v>
      </c>
      <c r="D613" s="1"/>
    </row>
    <row r="614" spans="1:4">
      <c r="A614" s="1" t="s">
        <v>81</v>
      </c>
      <c r="B614" s="1">
        <v>278830.04670000001</v>
      </c>
      <c r="C614" s="1">
        <v>0</v>
      </c>
      <c r="D614" s="1"/>
    </row>
    <row r="615" spans="1:4">
      <c r="A615" s="1" t="s">
        <v>82</v>
      </c>
      <c r="B615" s="1">
        <v>0</v>
      </c>
      <c r="C615" s="1">
        <v>18038.2585</v>
      </c>
      <c r="D615" s="1"/>
    </row>
    <row r="616" spans="1:4">
      <c r="A616" s="1" t="s">
        <v>83</v>
      </c>
      <c r="B616" s="1">
        <v>132033.5729</v>
      </c>
      <c r="C616" s="1">
        <v>0</v>
      </c>
      <c r="D616" s="1"/>
    </row>
    <row r="617" spans="1:4">
      <c r="A617" s="1" t="s">
        <v>84</v>
      </c>
      <c r="B617" s="1">
        <v>0</v>
      </c>
      <c r="C617" s="1">
        <v>26228.3868</v>
      </c>
      <c r="D617" s="1"/>
    </row>
    <row r="618" spans="1:4">
      <c r="A618" s="1" t="s">
        <v>85</v>
      </c>
      <c r="B618" s="1">
        <v>0</v>
      </c>
      <c r="C618" s="1">
        <v>63021.783499999998</v>
      </c>
      <c r="D618" s="1"/>
    </row>
    <row r="619" spans="1:4">
      <c r="A619" s="1" t="s">
        <v>86</v>
      </c>
      <c r="B619" s="1">
        <v>0</v>
      </c>
      <c r="C619" s="1">
        <v>17905.193200000002</v>
      </c>
      <c r="D619" s="1"/>
    </row>
    <row r="620" spans="1:4">
      <c r="A620" s="3">
        <v>45414</v>
      </c>
      <c r="B620" s="1">
        <v>0</v>
      </c>
      <c r="C620" s="1">
        <v>24069.6463</v>
      </c>
      <c r="D620" s="1"/>
    </row>
    <row r="621" spans="1:4">
      <c r="A621" s="3">
        <v>45415</v>
      </c>
      <c r="B621" s="1">
        <v>0</v>
      </c>
      <c r="C621" s="1">
        <v>62505.900199999996</v>
      </c>
      <c r="D621" s="1"/>
    </row>
    <row r="622" spans="1:4">
      <c r="A622" s="3">
        <v>45418</v>
      </c>
      <c r="B622" s="1">
        <v>0</v>
      </c>
      <c r="C622" s="1">
        <v>25130.019</v>
      </c>
      <c r="D622" s="1"/>
    </row>
    <row r="623" spans="1:4">
      <c r="A623" s="3">
        <v>45419</v>
      </c>
      <c r="B623" s="1">
        <v>0</v>
      </c>
      <c r="C623" s="1">
        <v>29143.389899999998</v>
      </c>
      <c r="D623" s="1"/>
    </row>
    <row r="624" spans="1:4">
      <c r="A624" s="3">
        <v>45420</v>
      </c>
      <c r="B624" s="1">
        <v>176158.8266</v>
      </c>
      <c r="C624" s="1">
        <v>0</v>
      </c>
      <c r="D624" s="1"/>
    </row>
    <row r="625" spans="1:4">
      <c r="A625" s="3">
        <v>45421</v>
      </c>
      <c r="B625" s="1">
        <v>93769.706399999995</v>
      </c>
      <c r="C625" s="1">
        <v>0</v>
      </c>
      <c r="D625" s="1"/>
    </row>
    <row r="626" spans="1:4">
      <c r="A626" s="3">
        <v>45422</v>
      </c>
      <c r="B626" s="1">
        <v>0</v>
      </c>
      <c r="C626" s="1">
        <v>30895.553400000001</v>
      </c>
      <c r="D626" s="1"/>
    </row>
    <row r="627" spans="1:4">
      <c r="A627" s="3">
        <v>45425</v>
      </c>
      <c r="B627" s="1">
        <v>0</v>
      </c>
      <c r="C627" s="1">
        <v>95193.024099999995</v>
      </c>
      <c r="D627" s="1"/>
    </row>
    <row r="628" spans="1:4">
      <c r="A628" s="3">
        <v>45426</v>
      </c>
      <c r="B628" s="1">
        <v>0</v>
      </c>
      <c r="C628" s="1">
        <v>101722.3432</v>
      </c>
      <c r="D628" s="1"/>
    </row>
    <row r="629" spans="1:4">
      <c r="A629" s="3">
        <v>45427</v>
      </c>
      <c r="B629" s="1">
        <v>214482.7573</v>
      </c>
      <c r="C629" s="1">
        <v>0</v>
      </c>
      <c r="D629" s="1"/>
    </row>
    <row r="630" spans="1:4">
      <c r="A630" s="3">
        <v>45428</v>
      </c>
      <c r="B630" s="1">
        <v>81918.846000000005</v>
      </c>
      <c r="C630" s="1">
        <v>0</v>
      </c>
      <c r="D630" s="1"/>
    </row>
    <row r="631" spans="1:4">
      <c r="A631" s="3">
        <v>45429</v>
      </c>
      <c r="B631" s="1">
        <v>0</v>
      </c>
      <c r="C631" s="1">
        <v>12791.511399999999</v>
      </c>
      <c r="D631" s="1"/>
    </row>
    <row r="632" spans="1:4">
      <c r="A632" s="3">
        <v>45433</v>
      </c>
      <c r="B632" s="1">
        <v>65359.303599999999</v>
      </c>
      <c r="C632" s="1">
        <v>0</v>
      </c>
      <c r="D632" s="1"/>
    </row>
    <row r="633" spans="1:4">
      <c r="A633" s="1" t="s">
        <v>87</v>
      </c>
      <c r="B633" s="1">
        <v>57469.733</v>
      </c>
      <c r="C633" s="1">
        <v>0</v>
      </c>
      <c r="D633" s="1"/>
    </row>
    <row r="634" spans="1:4">
      <c r="A634" s="1" t="s">
        <v>88</v>
      </c>
      <c r="B634" s="1">
        <v>0</v>
      </c>
      <c r="C634" s="1">
        <v>1675.7338</v>
      </c>
      <c r="D634" s="1"/>
    </row>
    <row r="635" spans="1:4">
      <c r="A635" s="1" t="s">
        <v>89</v>
      </c>
      <c r="B635" s="1">
        <v>21070.702799999999</v>
      </c>
      <c r="C635" s="1">
        <v>0</v>
      </c>
      <c r="D635" s="1"/>
    </row>
    <row r="636" spans="1:4">
      <c r="A636" s="1" t="s">
        <v>90</v>
      </c>
      <c r="B636" s="1">
        <v>4634.9209000000001</v>
      </c>
      <c r="C636" s="1">
        <v>0</v>
      </c>
      <c r="D636" s="1"/>
    </row>
    <row r="637" spans="1:4">
      <c r="A637" s="1" t="s">
        <v>91</v>
      </c>
      <c r="B637" s="1">
        <v>27833.351600000002</v>
      </c>
      <c r="C637" s="1">
        <v>0</v>
      </c>
      <c r="D637" s="1"/>
    </row>
    <row r="638" spans="1:4">
      <c r="A638" s="1" t="s">
        <v>92</v>
      </c>
      <c r="B638" s="1">
        <v>0</v>
      </c>
      <c r="C638" s="1">
        <v>7591.2950000000001</v>
      </c>
      <c r="D638" s="1"/>
    </row>
    <row r="639" spans="1:4">
      <c r="A639" s="3">
        <v>45539</v>
      </c>
      <c r="B639" s="1">
        <v>2615.8708999999999</v>
      </c>
      <c r="C639" s="1">
        <v>0</v>
      </c>
      <c r="D639" s="1"/>
    </row>
    <row r="640" spans="1:4">
      <c r="A640" s="3">
        <v>45443</v>
      </c>
      <c r="B640" s="1">
        <v>10532.626099999999</v>
      </c>
      <c r="C640" s="1">
        <v>0</v>
      </c>
      <c r="D640" s="1"/>
    </row>
    <row r="641" spans="1:4">
      <c r="A641" s="3">
        <v>45446</v>
      </c>
      <c r="B641" s="1">
        <v>0</v>
      </c>
      <c r="C641" s="1">
        <v>31452.422299999998</v>
      </c>
      <c r="D641" s="1"/>
    </row>
    <row r="642" spans="1:4">
      <c r="A642" s="3">
        <v>45447</v>
      </c>
      <c r="B642" s="1">
        <v>0</v>
      </c>
      <c r="C642" s="1">
        <v>68289.647700000001</v>
      </c>
      <c r="D642" s="1"/>
    </row>
    <row r="643" spans="1:4">
      <c r="A643" s="3">
        <v>45448</v>
      </c>
      <c r="B643" s="1">
        <v>105589.52830000001</v>
      </c>
      <c r="C643" s="1">
        <v>0</v>
      </c>
      <c r="D643" s="1"/>
    </row>
    <row r="644" spans="1:4">
      <c r="A644" s="3">
        <v>45449</v>
      </c>
      <c r="B644" s="1">
        <v>9071.5331000000006</v>
      </c>
      <c r="C644" s="1">
        <v>0</v>
      </c>
      <c r="D644" s="1"/>
    </row>
    <row r="645" spans="1:4">
      <c r="A645" s="3">
        <v>45450</v>
      </c>
      <c r="B645" s="1">
        <v>50134.920599999998</v>
      </c>
      <c r="C645" s="1">
        <v>0</v>
      </c>
      <c r="D645" s="1"/>
    </row>
    <row r="646" spans="1:4">
      <c r="A646" s="3">
        <v>45453</v>
      </c>
      <c r="B646" s="1">
        <v>0</v>
      </c>
      <c r="C646" s="1">
        <v>36782.396399999998</v>
      </c>
      <c r="D646" s="1"/>
    </row>
    <row r="647" spans="1:4">
      <c r="A647" s="3">
        <v>45454</v>
      </c>
      <c r="B647" s="1">
        <v>198470.72219999999</v>
      </c>
      <c r="C647" s="1">
        <v>0</v>
      </c>
      <c r="D647" s="1"/>
    </row>
    <row r="648" spans="1:4">
      <c r="A648" s="3">
        <v>45455</v>
      </c>
      <c r="B648" s="1">
        <v>28602.497800000001</v>
      </c>
      <c r="C648" s="1">
        <v>0</v>
      </c>
      <c r="D648" s="1"/>
    </row>
    <row r="649" spans="1:4">
      <c r="A649" s="3">
        <v>45456</v>
      </c>
      <c r="B649" s="1">
        <v>0</v>
      </c>
      <c r="C649" s="1">
        <v>45121.119100000004</v>
      </c>
      <c r="D649" s="1"/>
    </row>
    <row r="650" spans="1:4">
      <c r="A650" s="3">
        <v>45457</v>
      </c>
      <c r="B650" s="1">
        <v>65865.733999999997</v>
      </c>
      <c r="C650" s="1">
        <v>0</v>
      </c>
      <c r="D650" s="1"/>
    </row>
    <row r="651" spans="1:4">
      <c r="A651" s="1" t="s">
        <v>93</v>
      </c>
      <c r="B651" s="1">
        <v>5491.3590999999997</v>
      </c>
      <c r="C651" s="1">
        <v>0</v>
      </c>
      <c r="D651" s="1"/>
    </row>
    <row r="652" spans="1:4">
      <c r="A652" s="1" t="s">
        <v>94</v>
      </c>
      <c r="B652" s="1">
        <v>61212.0383</v>
      </c>
      <c r="C652" s="1">
        <v>0</v>
      </c>
      <c r="D652" s="1"/>
    </row>
    <row r="653" spans="1:4">
      <c r="A653" s="1" t="s">
        <v>95</v>
      </c>
      <c r="B653" s="1">
        <v>0</v>
      </c>
      <c r="C653" s="1">
        <v>28779.438600000001</v>
      </c>
      <c r="D653" s="1"/>
    </row>
    <row r="654" spans="1:4">
      <c r="A654" s="1" t="s">
        <v>96</v>
      </c>
      <c r="B654" s="1">
        <v>0</v>
      </c>
      <c r="C654" s="1">
        <v>28533.5075</v>
      </c>
      <c r="D654" s="1"/>
    </row>
    <row r="655" spans="1:4">
      <c r="A655" s="1" t="s">
        <v>97</v>
      </c>
      <c r="B655" s="1">
        <v>47344.465900000003</v>
      </c>
      <c r="C655" s="1">
        <v>0</v>
      </c>
      <c r="D655" s="1"/>
    </row>
    <row r="656" spans="1:4">
      <c r="A656" s="1" t="s">
        <v>98</v>
      </c>
      <c r="B656" s="1">
        <v>0</v>
      </c>
      <c r="C656" s="1">
        <v>6162.5276999999996</v>
      </c>
      <c r="D656" s="1"/>
    </row>
    <row r="657" spans="1:4">
      <c r="A657" s="1" t="s">
        <v>99</v>
      </c>
      <c r="B657" s="1">
        <v>4799.0937999999996</v>
      </c>
      <c r="C657" s="1">
        <v>0</v>
      </c>
      <c r="D657" s="1"/>
    </row>
    <row r="658" spans="1:4">
      <c r="A658" s="1" t="s">
        <v>100</v>
      </c>
      <c r="B658" s="1">
        <v>0</v>
      </c>
      <c r="C658" s="1">
        <v>1177.0016000000001</v>
      </c>
      <c r="D658" s="1"/>
    </row>
    <row r="659" spans="1:4">
      <c r="A659" s="1" t="s">
        <v>101</v>
      </c>
      <c r="B659" s="1">
        <v>0</v>
      </c>
      <c r="C659" s="1">
        <v>17176.723600000001</v>
      </c>
      <c r="D659" s="1"/>
    </row>
    <row r="660" spans="1:4">
      <c r="A660" s="3">
        <v>45474</v>
      </c>
      <c r="B660" s="1">
        <v>6658.7550000000001</v>
      </c>
      <c r="C660" s="1">
        <v>0</v>
      </c>
      <c r="D660" s="1"/>
    </row>
    <row r="661" spans="1:4">
      <c r="A661" s="3">
        <v>45475</v>
      </c>
      <c r="B661" s="1">
        <v>14349.824000000001</v>
      </c>
      <c r="C661" s="1">
        <v>0</v>
      </c>
      <c r="D661" s="1"/>
    </row>
    <row r="662" spans="1:4">
      <c r="A662" s="3">
        <v>45476</v>
      </c>
      <c r="B662" s="1">
        <v>12232.7034</v>
      </c>
      <c r="C662" s="1">
        <v>0</v>
      </c>
      <c r="D662" s="1"/>
    </row>
    <row r="663" spans="1:4">
      <c r="A663" s="3">
        <v>45477</v>
      </c>
      <c r="B663" s="1">
        <v>2075.5587</v>
      </c>
      <c r="C663" s="1">
        <v>0</v>
      </c>
      <c r="D663" s="1"/>
    </row>
    <row r="664" spans="1:4">
      <c r="A664" s="3">
        <v>45481</v>
      </c>
      <c r="B664" s="1">
        <v>2090.2534000000001</v>
      </c>
      <c r="C664" s="1">
        <v>0</v>
      </c>
      <c r="D664" s="1"/>
    </row>
    <row r="665" spans="1:4">
      <c r="A665" s="3">
        <v>45482</v>
      </c>
      <c r="B665" s="1">
        <v>31.872</v>
      </c>
      <c r="C665" s="1">
        <v>0</v>
      </c>
      <c r="D665" s="1"/>
    </row>
    <row r="666" spans="1:4">
      <c r="A666" s="3">
        <v>45483</v>
      </c>
      <c r="B666" s="1">
        <v>4198.7952999999998</v>
      </c>
      <c r="C666" s="1">
        <v>0</v>
      </c>
      <c r="D666" s="1"/>
    </row>
    <row r="667" spans="1:4">
      <c r="A667" s="3">
        <v>45484</v>
      </c>
      <c r="B667" s="1">
        <v>9707.0038000000004</v>
      </c>
      <c r="C667" s="1">
        <v>0</v>
      </c>
      <c r="D667" s="1"/>
    </row>
    <row r="668" spans="1:4">
      <c r="A668" s="3">
        <v>45633</v>
      </c>
      <c r="B668" s="1">
        <v>979.12</v>
      </c>
      <c r="C668" s="1">
        <v>0</v>
      </c>
      <c r="D668" s="1"/>
    </row>
    <row r="669" spans="1:4">
      <c r="A669" s="3">
        <v>45488</v>
      </c>
      <c r="B669" s="1">
        <v>0</v>
      </c>
      <c r="C669" s="1">
        <v>3275.5614</v>
      </c>
      <c r="D669" s="1"/>
    </row>
    <row r="670" spans="1:4">
      <c r="A670" s="3">
        <v>45489</v>
      </c>
      <c r="B670" s="1">
        <v>5658.4790999999996</v>
      </c>
      <c r="C670" s="1">
        <v>0</v>
      </c>
      <c r="D670" s="1"/>
    </row>
    <row r="671" spans="1:4">
      <c r="A671" s="3">
        <v>45491</v>
      </c>
      <c r="B671" s="1">
        <v>0</v>
      </c>
      <c r="C671" s="1">
        <v>22259.35</v>
      </c>
      <c r="D671" s="1"/>
    </row>
    <row r="672" spans="1:4">
      <c r="A672" s="3">
        <v>45492</v>
      </c>
      <c r="B672" s="1">
        <v>0</v>
      </c>
      <c r="C672" s="1">
        <v>6954.92</v>
      </c>
      <c r="D672" s="1"/>
    </row>
    <row r="673" spans="1:4">
      <c r="A673" s="3">
        <v>45495</v>
      </c>
      <c r="B673" s="1">
        <v>0</v>
      </c>
      <c r="C673" s="1">
        <v>25862.84</v>
      </c>
      <c r="D673" s="1"/>
    </row>
    <row r="674" spans="1:4">
      <c r="A674" s="3">
        <v>45496</v>
      </c>
      <c r="B674" s="1">
        <v>20912.57</v>
      </c>
      <c r="C674" s="1">
        <v>0</v>
      </c>
      <c r="D674" s="1"/>
    </row>
    <row r="675" spans="1:4">
      <c r="A675" s="3">
        <v>45497</v>
      </c>
      <c r="B675" s="1">
        <v>0</v>
      </c>
      <c r="C675" s="1">
        <v>11609.89</v>
      </c>
      <c r="D675" s="1"/>
    </row>
    <row r="676" spans="1:4">
      <c r="A676" s="3">
        <v>45498</v>
      </c>
      <c r="B676" s="1">
        <v>0</v>
      </c>
      <c r="C676" s="1">
        <v>22680.37</v>
      </c>
      <c r="D676" s="1"/>
    </row>
    <row r="677" spans="1:4">
      <c r="A677" s="3">
        <v>45499</v>
      </c>
      <c r="B677" s="1">
        <v>37522.14</v>
      </c>
      <c r="C677" s="1">
        <v>0</v>
      </c>
      <c r="D677" s="1"/>
    </row>
    <row r="678" spans="1:4">
      <c r="A678" s="3">
        <v>45502</v>
      </c>
      <c r="B678" s="1">
        <v>0</v>
      </c>
      <c r="C678" s="1">
        <v>163703.85</v>
      </c>
      <c r="D678" s="1"/>
    </row>
    <row r="679" spans="1:4">
      <c r="A679" s="3">
        <v>45503</v>
      </c>
      <c r="B679" s="1">
        <v>0</v>
      </c>
      <c r="C679" s="1">
        <v>13367.35</v>
      </c>
      <c r="D679" s="1"/>
    </row>
    <row r="680" spans="1:4">
      <c r="A680" s="3">
        <v>45504</v>
      </c>
      <c r="B680" s="1">
        <v>107070.59</v>
      </c>
      <c r="C680" s="1">
        <v>0</v>
      </c>
      <c r="D680" s="1"/>
    </row>
    <row r="681" spans="1:4">
      <c r="A681" s="3">
        <v>45299</v>
      </c>
      <c r="B681" s="1">
        <v>0</v>
      </c>
      <c r="C681" s="1">
        <v>12987.63</v>
      </c>
      <c r="D681" s="1"/>
    </row>
    <row r="682" spans="1:4">
      <c r="A682" s="3">
        <v>45330</v>
      </c>
      <c r="B682" s="1">
        <v>51474.14</v>
      </c>
      <c r="C682" s="1">
        <v>0</v>
      </c>
      <c r="D682" s="1"/>
    </row>
    <row r="683" spans="1:4">
      <c r="A683" s="3">
        <v>45420</v>
      </c>
      <c r="B683" s="1">
        <v>0</v>
      </c>
      <c r="C683" s="1">
        <v>18617.240000000002</v>
      </c>
      <c r="D683" s="1"/>
    </row>
    <row r="684" spans="1:4">
      <c r="A684" s="3">
        <v>45451</v>
      </c>
      <c r="B684" s="1">
        <v>9283.4599999999991</v>
      </c>
      <c r="C684" s="1">
        <v>0</v>
      </c>
      <c r="D684" s="1"/>
    </row>
    <row r="685" spans="1:4">
      <c r="A685" s="3">
        <v>45481</v>
      </c>
      <c r="B685" s="1">
        <v>0</v>
      </c>
      <c r="C685" s="1">
        <v>26400.78</v>
      </c>
      <c r="D685" s="1"/>
    </row>
    <row r="686" spans="1:4">
      <c r="A686" s="3">
        <v>45512</v>
      </c>
      <c r="B686" s="1">
        <v>40203.050000000003</v>
      </c>
      <c r="C686" s="1">
        <v>0</v>
      </c>
      <c r="D686" s="1"/>
    </row>
    <row r="687" spans="1:4">
      <c r="A687" s="3">
        <v>45517</v>
      </c>
      <c r="B687" s="1">
        <v>24403.9</v>
      </c>
      <c r="C687" s="1">
        <v>0</v>
      </c>
      <c r="D687" s="1"/>
    </row>
    <row r="688" spans="1:4">
      <c r="A688" s="3">
        <v>45518</v>
      </c>
      <c r="B688" s="1">
        <v>0</v>
      </c>
      <c r="C688" s="1">
        <v>3191.21</v>
      </c>
      <c r="D688" s="1"/>
    </row>
    <row r="689" spans="1:4">
      <c r="A689" s="3">
        <v>45520</v>
      </c>
      <c r="B689" s="1">
        <v>38425.11</v>
      </c>
      <c r="C689" s="1">
        <v>0</v>
      </c>
      <c r="D689" s="1"/>
    </row>
    <row r="690" spans="1:4">
      <c r="A690" s="3">
        <v>45523</v>
      </c>
      <c r="B690" s="1">
        <v>0</v>
      </c>
      <c r="C690" s="1">
        <v>54293.72</v>
      </c>
      <c r="D690" s="1"/>
    </row>
    <row r="691" spans="1:4">
      <c r="A691" s="3">
        <v>45524</v>
      </c>
      <c r="B691" s="1">
        <v>0</v>
      </c>
      <c r="C691" s="1">
        <v>19296.98</v>
      </c>
      <c r="D691" s="1"/>
    </row>
    <row r="692" spans="1:4">
      <c r="A692" s="3">
        <v>45525</v>
      </c>
      <c r="B692" s="1">
        <v>0</v>
      </c>
      <c r="C692" s="1">
        <v>17903.72</v>
      </c>
      <c r="D692" s="1"/>
    </row>
    <row r="693" spans="1:4">
      <c r="A693" s="3">
        <v>45526</v>
      </c>
      <c r="B693" s="1">
        <v>0</v>
      </c>
      <c r="C693" s="1">
        <v>30200.82</v>
      </c>
      <c r="D693" s="1"/>
    </row>
    <row r="694" spans="1:4">
      <c r="A694" s="3">
        <v>45527</v>
      </c>
      <c r="B694" s="1">
        <v>1931.36</v>
      </c>
      <c r="C694" s="1">
        <v>0</v>
      </c>
      <c r="D694" s="1"/>
    </row>
    <row r="695" spans="1:4">
      <c r="A695" s="3">
        <v>45530</v>
      </c>
      <c r="B695" s="1">
        <v>0</v>
      </c>
      <c r="C695" s="1">
        <v>19939.599999999999</v>
      </c>
      <c r="D695" s="1"/>
    </row>
    <row r="696" spans="1:4">
      <c r="A696" s="3">
        <v>45531</v>
      </c>
      <c r="B696" s="1">
        <v>0</v>
      </c>
      <c r="C696" s="1">
        <v>30713.1</v>
      </c>
      <c r="D696" s="1"/>
    </row>
    <row r="697" spans="1:4">
      <c r="A697" s="3">
        <v>45532</v>
      </c>
      <c r="B697" s="1">
        <v>34486.660000000003</v>
      </c>
      <c r="C697" s="1">
        <v>0</v>
      </c>
      <c r="D697" s="1"/>
    </row>
    <row r="698" spans="1:4">
      <c r="A698" s="3">
        <v>45533</v>
      </c>
      <c r="B698" s="1">
        <v>0</v>
      </c>
      <c r="C698" s="1">
        <v>39615.5</v>
      </c>
      <c r="D698" s="1"/>
    </row>
    <row r="699" spans="1:4">
      <c r="A699" s="3">
        <v>45534</v>
      </c>
      <c r="B699" s="1">
        <v>33066.92</v>
      </c>
      <c r="C699" s="1">
        <v>0</v>
      </c>
      <c r="D699" s="1"/>
    </row>
    <row r="700" spans="1:4">
      <c r="A700" s="3">
        <v>45331</v>
      </c>
      <c r="B700" s="1">
        <v>0</v>
      </c>
      <c r="C700" s="1">
        <v>45969.2</v>
      </c>
      <c r="D700" s="1"/>
    </row>
    <row r="701" spans="1:4">
      <c r="A701" s="3">
        <v>45360</v>
      </c>
      <c r="B701" s="1">
        <v>24683.46</v>
      </c>
      <c r="C701" s="1">
        <v>0</v>
      </c>
      <c r="D701" s="1"/>
    </row>
    <row r="702" spans="1:4">
      <c r="A702" s="3">
        <v>45391</v>
      </c>
      <c r="B702" s="1">
        <v>82858.7</v>
      </c>
      <c r="C702" s="1">
        <v>0</v>
      </c>
      <c r="D702" s="1"/>
    </row>
    <row r="703" spans="1:4">
      <c r="A703" s="3">
        <v>45421</v>
      </c>
      <c r="B703" s="1">
        <v>0</v>
      </c>
      <c r="C703" s="1">
        <v>6131.37</v>
      </c>
      <c r="D703" s="1"/>
    </row>
    <row r="704" spans="1:4">
      <c r="A704" s="3">
        <v>45452</v>
      </c>
      <c r="B704" s="1">
        <v>11656.97</v>
      </c>
      <c r="C704" s="1">
        <v>0</v>
      </c>
      <c r="D704" s="1"/>
    </row>
    <row r="705" spans="1:4">
      <c r="A705" s="3">
        <v>45544</v>
      </c>
      <c r="B705" s="1">
        <v>0</v>
      </c>
      <c r="C705" s="1">
        <v>103915.1</v>
      </c>
      <c r="D705" s="1"/>
    </row>
    <row r="706" spans="1:4">
      <c r="A706" s="3">
        <v>45544</v>
      </c>
      <c r="B706" s="1">
        <v>1880.7260000000001</v>
      </c>
      <c r="C706" s="1">
        <v>0</v>
      </c>
      <c r="D706" s="1"/>
    </row>
    <row r="707" spans="1:4">
      <c r="A707" s="3">
        <v>45574</v>
      </c>
      <c r="B707" s="1">
        <v>0</v>
      </c>
      <c r="C707" s="1">
        <v>43411.28</v>
      </c>
      <c r="D707" s="1"/>
    </row>
    <row r="708" spans="1:4">
      <c r="A708" s="3">
        <v>45605</v>
      </c>
      <c r="B708" s="1">
        <v>206359.32</v>
      </c>
      <c r="C708" s="1">
        <v>0</v>
      </c>
      <c r="D708" s="1"/>
    </row>
    <row r="709" spans="1:4">
      <c r="A709" s="3">
        <v>45605</v>
      </c>
      <c r="B709" s="1">
        <v>0</v>
      </c>
      <c r="C709" s="1">
        <v>6952.4202999999998</v>
      </c>
      <c r="D709" s="1"/>
    </row>
    <row r="710" spans="1:4">
      <c r="A710" s="3">
        <v>45547</v>
      </c>
      <c r="B710" s="1">
        <v>41737.42</v>
      </c>
      <c r="C710" s="1">
        <v>0</v>
      </c>
      <c r="D710" s="1"/>
    </row>
    <row r="711" spans="1:4">
      <c r="A711" s="3">
        <v>45548</v>
      </c>
      <c r="B711" s="1">
        <v>70888.759999999995</v>
      </c>
      <c r="C711" s="1">
        <v>0</v>
      </c>
      <c r="D711" s="1"/>
    </row>
    <row r="712" spans="1:4">
      <c r="A712" s="3">
        <v>45551</v>
      </c>
      <c r="B712" s="1">
        <v>46611.1</v>
      </c>
      <c r="C712" s="1">
        <v>0</v>
      </c>
      <c r="D712" s="1"/>
    </row>
    <row r="713" spans="1:4">
      <c r="A713" s="3">
        <v>45552</v>
      </c>
      <c r="B713" s="1">
        <v>0</v>
      </c>
      <c r="C713" s="1">
        <v>7259.08</v>
      </c>
      <c r="D713" s="1"/>
    </row>
    <row r="714" spans="1:4">
      <c r="A714" s="3">
        <v>45553</v>
      </c>
      <c r="B714" s="1">
        <v>8023.23</v>
      </c>
      <c r="C714" s="1">
        <v>0</v>
      </c>
      <c r="D714" s="1"/>
    </row>
    <row r="715" spans="1:4">
      <c r="A715" s="3">
        <v>45554</v>
      </c>
      <c r="B715" s="1">
        <v>10094.02</v>
      </c>
      <c r="C715" s="1">
        <v>0</v>
      </c>
      <c r="D715" s="1"/>
    </row>
    <row r="716" spans="1:4">
      <c r="A716" s="3">
        <v>45558</v>
      </c>
      <c r="B716" s="1">
        <v>0</v>
      </c>
      <c r="C716" s="1">
        <v>7543.37</v>
      </c>
      <c r="D716" s="1"/>
    </row>
    <row r="717" spans="1:4">
      <c r="A717" s="3">
        <v>45559</v>
      </c>
      <c r="B717" s="1">
        <v>0</v>
      </c>
      <c r="C717" s="1">
        <v>7560.83</v>
      </c>
      <c r="D717" s="1"/>
    </row>
    <row r="718" spans="1:4">
      <c r="A718" s="3">
        <v>45560</v>
      </c>
      <c r="B718" s="1">
        <v>7195.84</v>
      </c>
      <c r="C718" s="1">
        <v>0</v>
      </c>
      <c r="D718" s="1"/>
    </row>
    <row r="719" spans="1:4">
      <c r="A719" s="3">
        <v>45561</v>
      </c>
      <c r="B719" s="1">
        <v>0</v>
      </c>
      <c r="C719" s="1">
        <v>15269.85</v>
      </c>
      <c r="D719" s="1"/>
    </row>
    <row r="720" spans="1:4">
      <c r="A720" s="3">
        <v>45562</v>
      </c>
      <c r="B720" s="1">
        <v>94912.14</v>
      </c>
      <c r="C720" s="1">
        <v>0</v>
      </c>
      <c r="D720" s="1"/>
    </row>
    <row r="721" spans="1:4">
      <c r="A721" s="1" t="s">
        <v>102</v>
      </c>
      <c r="B721" s="1">
        <v>0</v>
      </c>
      <c r="C721" s="1">
        <v>55277.835599999999</v>
      </c>
      <c r="D721" s="1"/>
    </row>
    <row r="722" spans="1:4">
      <c r="A722" s="3">
        <v>45566</v>
      </c>
      <c r="B722" s="1">
        <v>28634.0347</v>
      </c>
      <c r="C722" s="1">
        <v>0</v>
      </c>
      <c r="D722" s="1"/>
    </row>
    <row r="723" spans="1:4">
      <c r="A723" s="3">
        <v>45361</v>
      </c>
      <c r="B723" s="1">
        <v>45038.424800000001</v>
      </c>
      <c r="C723" s="1">
        <v>0</v>
      </c>
      <c r="D723" s="1"/>
    </row>
    <row r="724" spans="1:4">
      <c r="A724" s="3">
        <v>45568</v>
      </c>
      <c r="B724" s="1">
        <v>45388.88</v>
      </c>
      <c r="C724" s="1">
        <v>0</v>
      </c>
      <c r="D724" s="1"/>
    </row>
    <row r="725" spans="1:4">
      <c r="A725" s="3">
        <v>45392</v>
      </c>
      <c r="B725" s="1">
        <v>0</v>
      </c>
      <c r="C725" s="1">
        <v>20283.400000000001</v>
      </c>
      <c r="D725" s="1"/>
    </row>
    <row r="726" spans="1:4">
      <c r="A726" s="3">
        <v>45483</v>
      </c>
      <c r="B726" s="1">
        <v>0</v>
      </c>
      <c r="C726" s="1">
        <v>23354.77</v>
      </c>
      <c r="D726" s="1"/>
    </row>
    <row r="727" spans="1:4">
      <c r="A727" s="3">
        <v>45514</v>
      </c>
      <c r="B727" s="1">
        <v>12185.34</v>
      </c>
      <c r="C727" s="1">
        <v>0</v>
      </c>
      <c r="D727" s="1"/>
    </row>
    <row r="728" spans="1:4">
      <c r="A728" s="3">
        <v>45545</v>
      </c>
      <c r="B728" s="1">
        <v>0</v>
      </c>
      <c r="C728" s="1">
        <v>8896.6299999999992</v>
      </c>
      <c r="D728" s="1"/>
    </row>
    <row r="729" spans="1:4">
      <c r="A729" s="3">
        <v>45575</v>
      </c>
      <c r="B729" s="1">
        <v>0</v>
      </c>
      <c r="C729" s="1">
        <v>4730.1099999999997</v>
      </c>
      <c r="D729" s="1"/>
    </row>
    <row r="730" spans="1:4">
      <c r="A730" s="3">
        <v>45606</v>
      </c>
      <c r="B730" s="1">
        <v>0</v>
      </c>
      <c r="C730" s="1">
        <v>9161.11</v>
      </c>
      <c r="D730" s="1"/>
    </row>
    <row r="731" spans="1:4">
      <c r="A731" s="3">
        <v>45579</v>
      </c>
      <c r="B731" s="1">
        <v>43056.480000000003</v>
      </c>
      <c r="C731" s="1">
        <v>0</v>
      </c>
      <c r="D731" s="1"/>
    </row>
    <row r="732" spans="1:4">
      <c r="A732" s="3">
        <v>45580</v>
      </c>
      <c r="B732" s="1">
        <v>0</v>
      </c>
      <c r="C732" s="1">
        <v>3589.15</v>
      </c>
      <c r="D732" s="1"/>
    </row>
    <row r="733" spans="1:4">
      <c r="A733" s="3">
        <v>45581</v>
      </c>
      <c r="B733" s="1">
        <v>4899.66</v>
      </c>
      <c r="C733" s="1">
        <v>0</v>
      </c>
      <c r="D733" s="1"/>
    </row>
    <row r="734" spans="1:4">
      <c r="A734" s="3">
        <v>45582</v>
      </c>
      <c r="B734" s="1">
        <v>1415.9</v>
      </c>
      <c r="C734" s="1">
        <v>0</v>
      </c>
      <c r="D734" s="1"/>
    </row>
    <row r="735" spans="1:4">
      <c r="A735" s="3">
        <v>45583</v>
      </c>
      <c r="B735" s="1">
        <v>6009.37</v>
      </c>
      <c r="C735" s="1">
        <v>0</v>
      </c>
      <c r="D735" s="1"/>
    </row>
    <row r="736" spans="1:4">
      <c r="A736" s="3">
        <v>45586</v>
      </c>
      <c r="B736" s="1">
        <v>61422.29</v>
      </c>
      <c r="C736" s="1">
        <v>0</v>
      </c>
      <c r="D736" s="1"/>
    </row>
    <row r="737" spans="1:4">
      <c r="A737" s="3">
        <v>45587</v>
      </c>
      <c r="B737" s="1">
        <v>5446.03</v>
      </c>
      <c r="C737" s="1">
        <v>0</v>
      </c>
      <c r="D737" s="1"/>
    </row>
    <row r="738" spans="1:4">
      <c r="A738" s="3">
        <v>45588</v>
      </c>
      <c r="B738" s="1">
        <v>4848.28</v>
      </c>
      <c r="C738" s="1">
        <v>0</v>
      </c>
      <c r="D738" s="1"/>
    </row>
    <row r="739" spans="1:4">
      <c r="A739" s="3">
        <v>45589</v>
      </c>
      <c r="B739" s="1">
        <v>0</v>
      </c>
      <c r="C739" s="1">
        <v>2399.67</v>
      </c>
      <c r="D739" s="1"/>
    </row>
    <row r="740" spans="1:4">
      <c r="A740" s="3">
        <v>45590</v>
      </c>
      <c r="B740" s="1">
        <v>14069.22</v>
      </c>
      <c r="C740" s="1">
        <v>0</v>
      </c>
      <c r="D740" s="1"/>
    </row>
    <row r="741" spans="1:4">
      <c r="A741" s="3">
        <v>45593</v>
      </c>
      <c r="B741" s="1">
        <v>11730.21</v>
      </c>
      <c r="C741" s="1">
        <v>0</v>
      </c>
      <c r="D741" s="1"/>
    </row>
    <row r="742" spans="1:4">
      <c r="A742" s="3">
        <v>45594</v>
      </c>
      <c r="B742" s="1">
        <v>7591.04</v>
      </c>
      <c r="C742" s="1">
        <v>0</v>
      </c>
      <c r="D742" s="1"/>
    </row>
    <row r="743" spans="1:4">
      <c r="A743" s="3">
        <v>45595</v>
      </c>
      <c r="B743" s="1">
        <v>72350.789999999994</v>
      </c>
      <c r="C743" s="1">
        <v>0</v>
      </c>
      <c r="D743" s="1"/>
    </row>
    <row r="744" spans="1:4">
      <c r="A744" s="3">
        <v>45596</v>
      </c>
      <c r="B744" s="1">
        <v>0</v>
      </c>
      <c r="C744" s="1">
        <v>24496.87</v>
      </c>
      <c r="D744" s="1"/>
    </row>
    <row r="745" spans="1:4">
      <c r="A745" s="3">
        <v>45600</v>
      </c>
      <c r="B745" s="1">
        <v>0</v>
      </c>
      <c r="C745" s="1">
        <v>5841.44</v>
      </c>
      <c r="D745" s="1"/>
    </row>
    <row r="746" spans="1:4">
      <c r="A746" s="3">
        <v>45601</v>
      </c>
      <c r="B746" s="1">
        <v>11961.61</v>
      </c>
      <c r="C746" s="1">
        <v>0</v>
      </c>
      <c r="D746" s="1"/>
    </row>
    <row r="747" spans="1:4">
      <c r="A747" s="3">
        <v>45602</v>
      </c>
      <c r="B747" s="1">
        <v>1053.58</v>
      </c>
      <c r="C747" s="1">
        <v>0</v>
      </c>
      <c r="D747" s="1"/>
    </row>
    <row r="748" spans="1:4">
      <c r="A748" s="3">
        <v>45603</v>
      </c>
      <c r="B748" s="1">
        <v>2020.4</v>
      </c>
      <c r="C748" s="1">
        <v>0</v>
      </c>
      <c r="D748" s="1"/>
    </row>
    <row r="749" spans="1:4">
      <c r="A749" s="3">
        <v>45604</v>
      </c>
      <c r="B749" s="1">
        <v>0</v>
      </c>
      <c r="C749" s="1">
        <v>3961.62</v>
      </c>
      <c r="D749" s="1"/>
    </row>
    <row r="750" spans="1:4">
      <c r="A750" s="3">
        <v>45607</v>
      </c>
      <c r="B750" s="1">
        <v>0</v>
      </c>
      <c r="C750" s="1">
        <v>30561.95</v>
      </c>
      <c r="D750" s="1"/>
    </row>
    <row r="751" spans="1:4">
      <c r="A751" s="3">
        <v>45608</v>
      </c>
      <c r="B751" s="1">
        <v>190267.85</v>
      </c>
      <c r="C751" s="1">
        <v>0</v>
      </c>
      <c r="D751" s="1"/>
    </row>
    <row r="752" spans="1:4">
      <c r="A752" s="3">
        <v>45609</v>
      </c>
      <c r="B752" s="1">
        <v>30098.63</v>
      </c>
      <c r="C752" s="1">
        <v>0</v>
      </c>
      <c r="D752" s="1"/>
    </row>
    <row r="753" spans="1:4">
      <c r="A753" s="3">
        <v>45610</v>
      </c>
      <c r="B753" s="1">
        <v>1639.21</v>
      </c>
      <c r="C753" s="1">
        <v>0</v>
      </c>
      <c r="D753" s="1"/>
    </row>
    <row r="754" spans="1:4">
      <c r="A754" s="3">
        <v>45614</v>
      </c>
      <c r="B754" s="1">
        <v>0</v>
      </c>
      <c r="C754" s="1">
        <v>5551.07</v>
      </c>
      <c r="D754" s="1"/>
    </row>
    <row r="755" spans="1:4">
      <c r="A755" s="3">
        <v>45615</v>
      </c>
      <c r="B755" s="1">
        <v>11165.07</v>
      </c>
      <c r="C755" s="1">
        <v>0</v>
      </c>
      <c r="D755" s="1"/>
    </row>
    <row r="756" spans="1:4">
      <c r="A756" s="3">
        <v>45617</v>
      </c>
      <c r="B756" s="1">
        <v>0</v>
      </c>
      <c r="C756" s="1">
        <v>6530.43</v>
      </c>
      <c r="D756" s="1"/>
    </row>
    <row r="757" spans="1:4">
      <c r="A757" s="3">
        <v>45618</v>
      </c>
      <c r="B757" s="1">
        <v>0</v>
      </c>
      <c r="C757" s="1">
        <v>38186.61</v>
      </c>
      <c r="D757" s="1"/>
    </row>
    <row r="758" spans="1:4">
      <c r="A758" s="3">
        <v>45621</v>
      </c>
      <c r="B758" s="1">
        <v>3821.96</v>
      </c>
      <c r="C758" s="1">
        <v>0</v>
      </c>
      <c r="D758" s="1"/>
    </row>
    <row r="759" spans="1:4">
      <c r="A759" s="3">
        <v>45622</v>
      </c>
      <c r="B759" s="1">
        <v>0</v>
      </c>
      <c r="C759" s="1">
        <v>21688.06</v>
      </c>
      <c r="D759" s="1"/>
    </row>
    <row r="760" spans="1:4">
      <c r="A760" s="3">
        <v>45623</v>
      </c>
      <c r="B760" s="1">
        <v>47586.239999999998</v>
      </c>
      <c r="C760" s="1">
        <v>0</v>
      </c>
      <c r="D760" s="1"/>
    </row>
    <row r="761" spans="1:4">
      <c r="A761" s="3">
        <v>45624</v>
      </c>
      <c r="B761" s="1">
        <v>13372.49</v>
      </c>
      <c r="C761" s="1">
        <v>0</v>
      </c>
      <c r="D761" s="1"/>
    </row>
    <row r="762" spans="1:4">
      <c r="A762" s="1" t="s">
        <v>103</v>
      </c>
      <c r="B762" s="1">
        <v>16718.909899999999</v>
      </c>
      <c r="C762" s="1">
        <v>0</v>
      </c>
      <c r="D762" s="1"/>
    </row>
    <row r="763" spans="1:4">
      <c r="A763" s="3">
        <v>45628</v>
      </c>
      <c r="B763" s="1">
        <v>28291.57</v>
      </c>
      <c r="C763" s="1">
        <v>0</v>
      </c>
      <c r="D763" s="1"/>
    </row>
    <row r="764" spans="1:4">
      <c r="A764" s="3">
        <v>45630</v>
      </c>
      <c r="B764" s="1">
        <v>1654.36</v>
      </c>
      <c r="C764" s="1">
        <v>0</v>
      </c>
      <c r="D764" s="1"/>
    </row>
    <row r="765" spans="1:4">
      <c r="A765" s="3">
        <v>45635</v>
      </c>
      <c r="B765" s="1">
        <v>0</v>
      </c>
      <c r="C765" s="1">
        <v>3747.85</v>
      </c>
      <c r="D765" s="1"/>
    </row>
    <row r="766" spans="1:4">
      <c r="A766" s="3">
        <v>45636</v>
      </c>
      <c r="B766" s="1">
        <v>0</v>
      </c>
      <c r="C766" s="1">
        <v>7762.61</v>
      </c>
      <c r="D766" s="1"/>
    </row>
    <row r="767" spans="1:4">
      <c r="A767" s="3">
        <v>45637</v>
      </c>
      <c r="B767" s="1">
        <v>0</v>
      </c>
      <c r="C767" s="1">
        <v>8957.86</v>
      </c>
      <c r="D767" s="1"/>
    </row>
    <row r="768" spans="1:4">
      <c r="A768" s="3">
        <v>45638</v>
      </c>
      <c r="B768" s="1">
        <v>21495.74</v>
      </c>
      <c r="C768" s="1">
        <v>0</v>
      </c>
      <c r="D768" s="1"/>
    </row>
    <row r="769" spans="1:4">
      <c r="A769" s="3">
        <v>45639</v>
      </c>
      <c r="B769" s="1">
        <v>0</v>
      </c>
      <c r="C769" s="1">
        <v>25452.11</v>
      </c>
      <c r="D769" s="1"/>
    </row>
    <row r="770" spans="1:4">
      <c r="A770" s="3">
        <v>45642</v>
      </c>
      <c r="B770" s="1">
        <v>0</v>
      </c>
      <c r="C770" s="1">
        <v>8165.85</v>
      </c>
      <c r="D770" s="1"/>
    </row>
    <row r="771" spans="1:4">
      <c r="A771" s="3">
        <v>45643</v>
      </c>
      <c r="B771" s="1">
        <v>39297.58</v>
      </c>
      <c r="C771" s="1">
        <v>0</v>
      </c>
      <c r="D771" s="1"/>
    </row>
    <row r="772" spans="1:4">
      <c r="A772" s="3">
        <v>45644</v>
      </c>
      <c r="B772" s="1">
        <v>0</v>
      </c>
      <c r="C772" s="1">
        <v>25617.97</v>
      </c>
      <c r="D772" s="1"/>
    </row>
    <row r="773" spans="1:4">
      <c r="A773" s="3">
        <v>45645</v>
      </c>
      <c r="B773" s="1">
        <v>0</v>
      </c>
      <c r="C773" s="1">
        <v>22161.59</v>
      </c>
      <c r="D773" s="1"/>
    </row>
    <row r="774" spans="1:4">
      <c r="A774" s="3">
        <v>45646</v>
      </c>
      <c r="B774" s="1">
        <v>59507.94</v>
      </c>
      <c r="C774" s="1">
        <v>0</v>
      </c>
      <c r="D774" s="1"/>
    </row>
    <row r="775" spans="1:4">
      <c r="A775" s="3">
        <v>45650</v>
      </c>
      <c r="B775" s="1">
        <v>0</v>
      </c>
      <c r="C775" s="1">
        <v>917.69479999999999</v>
      </c>
      <c r="D775" s="1"/>
    </row>
    <row r="776" spans="1:4">
      <c r="A776" s="3">
        <v>45657</v>
      </c>
      <c r="B776" s="1">
        <v>0</v>
      </c>
      <c r="C776" s="1">
        <v>3137.97</v>
      </c>
      <c r="D776" s="1"/>
    </row>
    <row r="777" spans="1:4">
      <c r="A777" s="3">
        <v>45670</v>
      </c>
      <c r="B777" s="1">
        <v>22.94</v>
      </c>
      <c r="C777" s="1">
        <v>0</v>
      </c>
      <c r="D777" s="1"/>
    </row>
    <row r="778" spans="1:4">
      <c r="A778" s="3">
        <v>45672</v>
      </c>
      <c r="B778" s="1">
        <v>0</v>
      </c>
      <c r="C778" s="1">
        <v>18512.560000000001</v>
      </c>
      <c r="D778" s="1"/>
    </row>
    <row r="779" spans="1:4">
      <c r="A779" s="3">
        <v>45673</v>
      </c>
      <c r="B779" s="1">
        <v>0</v>
      </c>
      <c r="C779" s="1">
        <v>3351.25</v>
      </c>
      <c r="D779" s="1"/>
    </row>
    <row r="780" spans="1:4">
      <c r="A780" s="3">
        <v>45674</v>
      </c>
      <c r="B780" s="1">
        <v>67251.56</v>
      </c>
      <c r="C780" s="1">
        <v>0</v>
      </c>
      <c r="D780" s="1"/>
    </row>
    <row r="781" spans="1:4">
      <c r="A781" s="3">
        <v>45674</v>
      </c>
      <c r="B781" s="1">
        <v>13441.373600000001</v>
      </c>
      <c r="C781" s="1">
        <v>0</v>
      </c>
      <c r="D781" s="1"/>
    </row>
    <row r="782" spans="1:4">
      <c r="A782" s="1" t="s">
        <v>104</v>
      </c>
      <c r="B782" s="1">
        <v>0</v>
      </c>
      <c r="C782" s="1">
        <v>7291.1496999999999</v>
      </c>
      <c r="D782" s="1"/>
    </row>
    <row r="783" spans="1:4">
      <c r="A783" s="3">
        <v>45677</v>
      </c>
      <c r="B783" s="1">
        <v>22755.94</v>
      </c>
      <c r="C783" s="1">
        <v>0</v>
      </c>
      <c r="D783" s="1"/>
    </row>
    <row r="784" spans="1:4">
      <c r="A784" s="1" t="s">
        <v>105</v>
      </c>
      <c r="B784" s="1">
        <v>0</v>
      </c>
      <c r="C784" s="1">
        <v>25836.725999999999</v>
      </c>
      <c r="D784" s="1"/>
    </row>
    <row r="785" spans="1:4">
      <c r="A785" s="3">
        <v>45678</v>
      </c>
      <c r="B785" s="1">
        <v>39357.89</v>
      </c>
      <c r="C785" s="1">
        <v>0</v>
      </c>
      <c r="D785" s="1"/>
    </row>
    <row r="786" spans="1:4">
      <c r="A786" s="1" t="s">
        <v>106</v>
      </c>
      <c r="B786" s="1">
        <v>34631.098700000002</v>
      </c>
      <c r="C786" s="1">
        <v>0</v>
      </c>
      <c r="D786" s="1"/>
    </row>
    <row r="787" spans="1:4">
      <c r="A787" s="3">
        <v>45679</v>
      </c>
      <c r="B787" s="1">
        <v>16796.39</v>
      </c>
      <c r="C787" s="1">
        <v>0</v>
      </c>
      <c r="D787" s="1"/>
    </row>
    <row r="788" spans="1:4">
      <c r="A788" s="3">
        <v>45680</v>
      </c>
      <c r="B788" s="1">
        <v>0</v>
      </c>
      <c r="C788" s="1">
        <v>16567.61</v>
      </c>
      <c r="D788" s="1"/>
    </row>
    <row r="789" spans="1:4">
      <c r="A789" s="3">
        <v>45681</v>
      </c>
      <c r="B789" s="1">
        <v>29220.13</v>
      </c>
      <c r="C789" s="1">
        <v>0</v>
      </c>
      <c r="D789" s="1"/>
    </row>
    <row r="790" spans="1:4">
      <c r="A790" s="3">
        <v>45684</v>
      </c>
      <c r="B790" s="1">
        <v>0</v>
      </c>
      <c r="C790" s="1">
        <v>10931.86</v>
      </c>
      <c r="D790" s="1"/>
    </row>
    <row r="791" spans="1:4">
      <c r="A791" s="3">
        <v>45685</v>
      </c>
      <c r="B791" s="1">
        <v>12709.44</v>
      </c>
      <c r="C791" s="1">
        <v>0</v>
      </c>
      <c r="D791" s="1"/>
    </row>
    <row r="792" spans="1:4">
      <c r="A792" s="3">
        <v>45686</v>
      </c>
      <c r="B792" s="1">
        <v>66090.91</v>
      </c>
      <c r="C792" s="1">
        <v>0</v>
      </c>
      <c r="D792" s="1"/>
    </row>
    <row r="793" spans="1:4">
      <c r="A793" s="3">
        <v>45687</v>
      </c>
      <c r="B793" s="1">
        <v>0</v>
      </c>
      <c r="C793" s="1">
        <v>7344.92</v>
      </c>
      <c r="D793" s="1"/>
    </row>
    <row r="794" spans="1:4">
      <c r="A794" s="3">
        <v>45687</v>
      </c>
      <c r="B794" s="1">
        <v>0</v>
      </c>
      <c r="C794" s="1">
        <v>1457.7203</v>
      </c>
      <c r="D794" s="1"/>
    </row>
    <row r="795" spans="1:4">
      <c r="A795" s="3">
        <v>45688</v>
      </c>
      <c r="B795" s="1">
        <v>1540.0438999999999</v>
      </c>
      <c r="C795" s="1">
        <v>0</v>
      </c>
      <c r="D795" s="1"/>
    </row>
    <row r="796" spans="1:4">
      <c r="A796" s="3">
        <v>45689</v>
      </c>
      <c r="B796" s="1">
        <v>0</v>
      </c>
      <c r="C796" s="1">
        <v>11927.52</v>
      </c>
      <c r="D796" s="1"/>
    </row>
    <row r="797" spans="1:4">
      <c r="A797" s="3">
        <v>45689</v>
      </c>
      <c r="B797" s="1">
        <v>0</v>
      </c>
      <c r="C797" s="1">
        <v>3885.3132999999998</v>
      </c>
      <c r="D797" s="1"/>
    </row>
    <row r="798" spans="1:4">
      <c r="A798" s="3">
        <v>45691</v>
      </c>
      <c r="B798" s="1">
        <v>0</v>
      </c>
      <c r="C798" s="1">
        <v>7040.97</v>
      </c>
      <c r="D798" s="1"/>
    </row>
    <row r="799" spans="1:4">
      <c r="A799" s="3">
        <v>45692</v>
      </c>
      <c r="B799" s="1">
        <v>53189.77</v>
      </c>
      <c r="C799" s="1">
        <v>0</v>
      </c>
      <c r="D799" s="1"/>
    </row>
    <row r="800" spans="1:4">
      <c r="A800" s="3">
        <v>45693</v>
      </c>
      <c r="B800" s="1">
        <v>15733.9</v>
      </c>
      <c r="C800" s="1">
        <v>0</v>
      </c>
      <c r="D800" s="1"/>
    </row>
    <row r="801" spans="1:4">
      <c r="A801" s="3">
        <v>45694</v>
      </c>
      <c r="B801" s="1">
        <v>0</v>
      </c>
      <c r="C801" s="1">
        <v>374.06</v>
      </c>
      <c r="D801" s="1"/>
    </row>
    <row r="802" spans="1:4">
      <c r="A802" s="3">
        <v>45695</v>
      </c>
      <c r="B802" s="1">
        <v>0</v>
      </c>
      <c r="C802" s="1">
        <v>1055.42</v>
      </c>
      <c r="D802" s="1"/>
    </row>
    <row r="803" spans="1:4">
      <c r="A803" s="3">
        <v>45698</v>
      </c>
      <c r="B803" s="1">
        <v>3111.1</v>
      </c>
      <c r="C803" s="1">
        <v>0</v>
      </c>
      <c r="D803" s="1"/>
    </row>
    <row r="804" spans="1:4">
      <c r="A804" s="3">
        <v>45699</v>
      </c>
      <c r="B804" s="1">
        <v>0</v>
      </c>
      <c r="C804" s="1">
        <v>8379.86</v>
      </c>
      <c r="D804" s="1"/>
    </row>
    <row r="805" spans="1:4">
      <c r="A805" s="3">
        <v>45700</v>
      </c>
      <c r="B805" s="1">
        <v>8318.68</v>
      </c>
      <c r="C805" s="1">
        <v>0</v>
      </c>
      <c r="D805" s="1"/>
    </row>
    <row r="806" spans="1:4">
      <c r="A806" s="3">
        <v>45701</v>
      </c>
      <c r="B806" s="1">
        <v>0</v>
      </c>
      <c r="C806" s="1">
        <v>8714.23</v>
      </c>
      <c r="D806" s="1"/>
    </row>
    <row r="807" spans="1:4">
      <c r="A807" s="3">
        <v>45702</v>
      </c>
      <c r="B807" s="1">
        <v>0</v>
      </c>
      <c r="C807" s="1">
        <v>180.31</v>
      </c>
      <c r="D807" s="1"/>
    </row>
    <row r="808" spans="1:4">
      <c r="A808" s="3">
        <v>45702</v>
      </c>
      <c r="B808" s="1">
        <v>0</v>
      </c>
      <c r="C808" s="1">
        <v>7527.8359</v>
      </c>
      <c r="D808" s="1"/>
    </row>
    <row r="809" spans="1:4">
      <c r="A809" s="3">
        <v>45705</v>
      </c>
      <c r="B809" s="1">
        <v>21119.373</v>
      </c>
      <c r="C809" s="1">
        <v>0</v>
      </c>
      <c r="D809" s="1"/>
    </row>
    <row r="810" spans="1:4">
      <c r="A810" s="3">
        <v>45705</v>
      </c>
      <c r="B810" s="1">
        <v>0</v>
      </c>
      <c r="C810" s="1">
        <v>5416.37</v>
      </c>
      <c r="D810" s="1"/>
    </row>
    <row r="811" spans="1:4">
      <c r="A811" s="3">
        <v>45706</v>
      </c>
      <c r="B811" s="1">
        <v>0</v>
      </c>
      <c r="C811" s="1">
        <v>7486.19</v>
      </c>
      <c r="D811" s="1"/>
    </row>
    <row r="812" spans="1:4">
      <c r="A812" s="3">
        <v>45706</v>
      </c>
      <c r="B812" s="1">
        <v>48693.739200000004</v>
      </c>
      <c r="C812" s="1">
        <v>0</v>
      </c>
      <c r="D812" s="1"/>
    </row>
    <row r="813" spans="1:4">
      <c r="A813" s="3">
        <v>45707</v>
      </c>
      <c r="B813" s="1">
        <v>0</v>
      </c>
      <c r="C813" s="1">
        <v>3527.1556999999998</v>
      </c>
      <c r="D813" s="1"/>
    </row>
    <row r="814" spans="1:4">
      <c r="A814" s="3">
        <v>45707</v>
      </c>
      <c r="B814" s="1">
        <v>0</v>
      </c>
      <c r="C814" s="1">
        <v>1962.75</v>
      </c>
      <c r="D814" s="1"/>
    </row>
    <row r="815" spans="1:4">
      <c r="A815" s="3">
        <v>45708</v>
      </c>
      <c r="B815" s="1">
        <v>30840.219099999998</v>
      </c>
      <c r="C815" s="1">
        <v>0</v>
      </c>
      <c r="D815" s="1"/>
    </row>
    <row r="816" spans="1:4">
      <c r="A816" s="3">
        <v>45708</v>
      </c>
      <c r="B816" s="1">
        <v>8729.19</v>
      </c>
      <c r="C816" s="1">
        <v>0</v>
      </c>
      <c r="D816" s="1"/>
    </row>
    <row r="817" spans="1:4">
      <c r="A817" s="3">
        <v>45709</v>
      </c>
      <c r="B817" s="1">
        <v>49637.885600000001</v>
      </c>
      <c r="C817" s="1">
        <v>0</v>
      </c>
      <c r="D817" s="1"/>
    </row>
    <row r="818" spans="1:4">
      <c r="A818" s="3">
        <v>45709</v>
      </c>
      <c r="B818" s="1">
        <v>6108.59</v>
      </c>
      <c r="C818" s="1">
        <v>0</v>
      </c>
      <c r="D818" s="1"/>
    </row>
    <row r="819" spans="1:4">
      <c r="A819" s="3">
        <v>45712</v>
      </c>
      <c r="B819" s="1">
        <v>0</v>
      </c>
      <c r="C819" s="1">
        <v>1076.1515999999999</v>
      </c>
      <c r="D819" s="1"/>
    </row>
    <row r="820" spans="1:4">
      <c r="A820" s="3">
        <v>45712</v>
      </c>
      <c r="B820" s="1">
        <v>2309.16</v>
      </c>
      <c r="C820" s="1">
        <v>0</v>
      </c>
      <c r="D820" s="1"/>
    </row>
    <row r="821" spans="1:4">
      <c r="A821" s="3">
        <v>45713</v>
      </c>
      <c r="B821" s="1">
        <v>0</v>
      </c>
      <c r="C821" s="1">
        <v>12640.093500000001</v>
      </c>
      <c r="D821" s="1"/>
    </row>
    <row r="822" spans="1:4">
      <c r="A822" s="3">
        <v>45713</v>
      </c>
      <c r="B822" s="1">
        <v>0</v>
      </c>
      <c r="C822" s="1">
        <v>4587.7</v>
      </c>
      <c r="D822" s="1"/>
    </row>
    <row r="823" spans="1:4">
      <c r="A823" s="3">
        <v>45715</v>
      </c>
      <c r="B823" s="1">
        <v>0</v>
      </c>
      <c r="C823" s="1">
        <v>16293.929</v>
      </c>
      <c r="D823" s="1"/>
    </row>
    <row r="824" spans="1:4">
      <c r="A824" s="3">
        <v>45715</v>
      </c>
      <c r="B824" s="1">
        <v>7899.72</v>
      </c>
      <c r="C824" s="1">
        <v>0</v>
      </c>
      <c r="D824" s="1"/>
    </row>
    <row r="825" spans="1:4">
      <c r="A825" s="3">
        <v>45716</v>
      </c>
      <c r="B825" s="1">
        <v>1468.3782000000001</v>
      </c>
      <c r="C825" s="1">
        <v>0</v>
      </c>
      <c r="D825" s="1"/>
    </row>
    <row r="826" spans="1:4">
      <c r="A826" s="3">
        <v>45716</v>
      </c>
      <c r="B826" s="1">
        <v>0</v>
      </c>
      <c r="C826" s="1">
        <v>673.63</v>
      </c>
      <c r="D826" s="1"/>
    </row>
    <row r="827" spans="1:4">
      <c r="A827" s="4">
        <v>45719</v>
      </c>
      <c r="B827" s="1">
        <v>2888.32</v>
      </c>
      <c r="C827" s="1">
        <v>0</v>
      </c>
      <c r="D827" s="1"/>
    </row>
    <row r="828" spans="1:4">
      <c r="A828" s="4">
        <v>45719</v>
      </c>
      <c r="B828" s="1">
        <v>28456.149700000002</v>
      </c>
      <c r="C828" s="1">
        <v>0</v>
      </c>
      <c r="D828" s="1"/>
    </row>
    <row r="829" spans="1:4">
      <c r="A829" s="3">
        <v>45719</v>
      </c>
      <c r="B829" s="1">
        <v>2888.32</v>
      </c>
      <c r="C829" s="1">
        <v>0</v>
      </c>
      <c r="D829" s="1"/>
    </row>
    <row r="830" spans="1:4">
      <c r="A830" s="3">
        <v>45720</v>
      </c>
      <c r="B830" s="1">
        <v>10500.71</v>
      </c>
      <c r="C830" s="1">
        <v>0</v>
      </c>
      <c r="D830" s="1"/>
    </row>
    <row r="831" spans="1:4">
      <c r="A831" s="4">
        <v>45720</v>
      </c>
      <c r="B831" s="1">
        <v>0</v>
      </c>
      <c r="C831" s="1">
        <v>1921.489</v>
      </c>
      <c r="D831" s="1"/>
    </row>
    <row r="832" spans="1:4">
      <c r="A832" s="4">
        <v>45721</v>
      </c>
      <c r="B832" s="1">
        <v>0</v>
      </c>
      <c r="C832" s="1">
        <v>8123.4192000000003</v>
      </c>
      <c r="D832" s="1"/>
    </row>
    <row r="833" spans="1:4">
      <c r="A833" s="4">
        <v>45722</v>
      </c>
      <c r="B833" s="1">
        <v>52391.802300000003</v>
      </c>
      <c r="C833" s="1">
        <v>0</v>
      </c>
      <c r="D833" s="1"/>
    </row>
    <row r="834" spans="1:4">
      <c r="A834" s="4">
        <v>45723</v>
      </c>
      <c r="B834" s="1">
        <v>5588.9989999999998</v>
      </c>
      <c r="C834" s="1">
        <v>0</v>
      </c>
      <c r="D834" s="1"/>
    </row>
    <row r="835" spans="1:4">
      <c r="A835" s="4">
        <v>45726</v>
      </c>
      <c r="B835" s="1">
        <v>0</v>
      </c>
      <c r="C835" s="1">
        <v>1352.1352999999999</v>
      </c>
      <c r="D835" s="1"/>
    </row>
    <row r="836" spans="1:4">
      <c r="A836" s="4">
        <v>45727</v>
      </c>
      <c r="B836" s="1">
        <v>17225.757300000001</v>
      </c>
      <c r="C836" s="1">
        <v>0</v>
      </c>
      <c r="D836" s="1"/>
    </row>
    <row r="837" spans="1:4">
      <c r="A837" s="4">
        <v>45728</v>
      </c>
      <c r="B837" s="1">
        <v>0</v>
      </c>
      <c r="C837" s="1">
        <v>1796.8776</v>
      </c>
      <c r="D837" s="1"/>
    </row>
    <row r="838" spans="1:4">
      <c r="A838" s="4">
        <v>45729</v>
      </c>
      <c r="B838" s="1">
        <v>13892.743700000001</v>
      </c>
      <c r="C838" s="1">
        <v>0</v>
      </c>
      <c r="D838" s="1"/>
    </row>
    <row r="839" spans="1:4">
      <c r="A839" s="4">
        <v>45733</v>
      </c>
      <c r="B839" s="1">
        <v>9004.5149000000001</v>
      </c>
      <c r="C839" s="1">
        <v>0</v>
      </c>
      <c r="D839" s="1"/>
    </row>
    <row r="840" spans="1:4">
      <c r="A840" s="4">
        <v>45734</v>
      </c>
      <c r="B840" s="1">
        <v>863.5992</v>
      </c>
      <c r="C840" s="1">
        <v>0</v>
      </c>
      <c r="D840" s="1"/>
    </row>
    <row r="841" spans="1:4">
      <c r="A841" s="4">
        <v>45735</v>
      </c>
      <c r="B841" s="1">
        <v>28447.509699999999</v>
      </c>
      <c r="C841" s="1">
        <v>0</v>
      </c>
      <c r="D841" s="1"/>
    </row>
    <row r="842" spans="1:4">
      <c r="A842" s="4">
        <v>45736</v>
      </c>
      <c r="B842" s="1">
        <v>0</v>
      </c>
      <c r="C842" s="1">
        <v>5133.9504999999999</v>
      </c>
      <c r="D842" s="1"/>
    </row>
    <row r="843" spans="1:4">
      <c r="A843" s="4">
        <v>45737</v>
      </c>
      <c r="B843" s="1">
        <v>0</v>
      </c>
      <c r="C843" s="1">
        <v>5608.4946</v>
      </c>
      <c r="D843" s="1"/>
    </row>
    <row r="844" spans="1:4">
      <c r="A844" s="4">
        <v>45740</v>
      </c>
      <c r="B844" s="1">
        <v>4922.2905000000001</v>
      </c>
      <c r="C844" s="1">
        <v>0</v>
      </c>
      <c r="D844" s="1"/>
    </row>
    <row r="845" spans="1:4">
      <c r="A845" s="4">
        <v>45741</v>
      </c>
      <c r="B845" s="1">
        <v>8284.8274000000001</v>
      </c>
      <c r="C845" s="1">
        <v>0</v>
      </c>
      <c r="D845" s="1"/>
    </row>
    <row r="846" spans="1:4">
      <c r="A846" s="4">
        <v>45742</v>
      </c>
      <c r="B846" s="1">
        <v>4612.8114999999998</v>
      </c>
      <c r="C846" s="1">
        <v>0</v>
      </c>
      <c r="D846" s="1"/>
    </row>
    <row r="847" spans="1:4">
      <c r="A847" s="4">
        <v>45743</v>
      </c>
      <c r="B847" s="1">
        <v>0</v>
      </c>
      <c r="C847" s="1">
        <v>24128.211899999998</v>
      </c>
      <c r="D847" s="1"/>
    </row>
    <row r="848" spans="1:4">
      <c r="A848" s="4">
        <v>45744</v>
      </c>
      <c r="B848" s="1">
        <v>0</v>
      </c>
      <c r="C848" s="1">
        <v>10770.8141</v>
      </c>
      <c r="D848" s="1"/>
    </row>
    <row r="849" spans="1:4">
      <c r="A849" s="4">
        <v>45748</v>
      </c>
      <c r="B849" s="1">
        <v>20608.9375</v>
      </c>
      <c r="C849" s="1">
        <v>0</v>
      </c>
      <c r="D849" s="1"/>
    </row>
    <row r="850" spans="1:4">
      <c r="A850" s="4">
        <v>45749</v>
      </c>
      <c r="B850" s="1">
        <v>0</v>
      </c>
      <c r="C850" s="1">
        <v>17680.574000000001</v>
      </c>
      <c r="D850" s="1"/>
    </row>
    <row r="851" spans="1:4">
      <c r="A851" s="4">
        <v>45750</v>
      </c>
      <c r="B851" s="1">
        <v>0</v>
      </c>
      <c r="C851" s="1">
        <v>18621.555499999999</v>
      </c>
      <c r="D851" s="1"/>
    </row>
    <row r="852" spans="1:4">
      <c r="A852" s="4">
        <v>45751</v>
      </c>
      <c r="B852" s="1"/>
      <c r="C852" s="1"/>
      <c r="D852" s="1"/>
    </row>
    <row r="853" spans="1:4">
      <c r="A853" s="4">
        <v>45754</v>
      </c>
      <c r="B853" s="1">
        <v>0</v>
      </c>
      <c r="C853" s="1">
        <v>6629.4071000000004</v>
      </c>
      <c r="D853" s="1"/>
    </row>
    <row r="854" spans="1:4">
      <c r="A854" s="4">
        <v>45755</v>
      </c>
      <c r="B854" s="1">
        <v>119429.8949</v>
      </c>
      <c r="C854" s="1">
        <v>0</v>
      </c>
      <c r="D854" s="1"/>
    </row>
    <row r="855" spans="1:4">
      <c r="A855" s="4">
        <v>45756</v>
      </c>
      <c r="B855" s="1">
        <v>0</v>
      </c>
      <c r="C855" s="1">
        <v>84419.735000000001</v>
      </c>
      <c r="D855" s="1"/>
    </row>
    <row r="856" spans="1:4">
      <c r="A856" s="4">
        <v>45758</v>
      </c>
      <c r="B856" s="1">
        <v>0</v>
      </c>
      <c r="C856" s="1">
        <v>22541.465100000001</v>
      </c>
      <c r="D856" s="1"/>
    </row>
    <row r="857" spans="1:4">
      <c r="A857" s="4">
        <v>45762</v>
      </c>
      <c r="B857" s="1">
        <v>0</v>
      </c>
      <c r="C857" s="1">
        <v>27888.392400000001</v>
      </c>
      <c r="D857" s="1"/>
    </row>
    <row r="858" spans="1:4">
      <c r="A858" s="4">
        <v>45763</v>
      </c>
      <c r="B858" s="1">
        <v>85100.306400000001</v>
      </c>
      <c r="C858" s="1">
        <v>0</v>
      </c>
      <c r="D858" s="1"/>
    </row>
    <row r="859" spans="1:4">
      <c r="A859" s="4">
        <v>45764</v>
      </c>
      <c r="B859" s="1">
        <v>0</v>
      </c>
      <c r="C859" s="1">
        <v>23948.455600000001</v>
      </c>
      <c r="D859" s="1"/>
    </row>
    <row r="860" spans="1:4">
      <c r="A860" s="4">
        <v>45768</v>
      </c>
      <c r="B860" s="1">
        <v>160467.86919999999</v>
      </c>
      <c r="C860" s="1">
        <v>0</v>
      </c>
      <c r="D860" s="1"/>
    </row>
    <row r="861" spans="1:4">
      <c r="A861" s="4">
        <v>45769</v>
      </c>
      <c r="B861" s="1">
        <v>0</v>
      </c>
      <c r="C861" s="1">
        <v>5169.1764999999996</v>
      </c>
      <c r="D861" s="1"/>
    </row>
    <row r="862" spans="1:4">
      <c r="A862" s="4">
        <v>45770</v>
      </c>
      <c r="B862" s="1">
        <v>47652.881999999998</v>
      </c>
      <c r="C862" s="1">
        <v>0</v>
      </c>
      <c r="D862" s="1"/>
    </row>
    <row r="863" spans="1:4">
      <c r="A863" s="4">
        <v>45771</v>
      </c>
      <c r="B863" s="1">
        <v>0</v>
      </c>
      <c r="C863" s="1">
        <v>10703.895699999999</v>
      </c>
      <c r="D863" s="1"/>
    </row>
    <row r="864" spans="1:4">
      <c r="A864" s="4">
        <v>45772</v>
      </c>
      <c r="B864" s="1">
        <v>0</v>
      </c>
      <c r="C864" s="1">
        <v>25491.254499999999</v>
      </c>
      <c r="D864" s="1"/>
    </row>
    <row r="865" spans="1:4">
      <c r="A865" s="4">
        <v>45775</v>
      </c>
      <c r="B865" s="1">
        <v>0</v>
      </c>
      <c r="C865" s="1">
        <v>118.187</v>
      </c>
      <c r="D865" s="1"/>
    </row>
    <row r="866" spans="1:4">
      <c r="A866" s="4">
        <v>45776</v>
      </c>
      <c r="B866" s="1">
        <v>0</v>
      </c>
      <c r="C866" s="1">
        <v>21089.669600000001</v>
      </c>
      <c r="D866" s="1"/>
    </row>
    <row r="867" spans="1:4">
      <c r="A867" s="4">
        <v>45777</v>
      </c>
      <c r="B867" s="1">
        <v>0</v>
      </c>
      <c r="C867" s="1">
        <v>46793.643700000001</v>
      </c>
      <c r="D867" s="1"/>
    </row>
    <row r="868" spans="1:4">
      <c r="A868" s="4">
        <v>45779</v>
      </c>
      <c r="B868" s="1">
        <v>107893.6134</v>
      </c>
      <c r="C868" s="1">
        <v>0</v>
      </c>
      <c r="D868" s="1"/>
    </row>
    <row r="869" spans="1:4">
      <c r="A869" s="4">
        <v>45782</v>
      </c>
      <c r="B869" s="1">
        <v>0</v>
      </c>
      <c r="C869" s="1">
        <v>13410.341399999999</v>
      </c>
      <c r="D869" s="1"/>
    </row>
    <row r="870" spans="1:4">
      <c r="A870" s="4">
        <v>45783</v>
      </c>
      <c r="B870" s="1">
        <v>72015.286200000002</v>
      </c>
      <c r="C870" s="1">
        <v>0</v>
      </c>
      <c r="D870" s="1"/>
    </row>
    <row r="871" spans="1:4">
      <c r="A871" s="4">
        <v>45784</v>
      </c>
      <c r="B871" s="1">
        <v>51086.913099999998</v>
      </c>
      <c r="C871" s="1">
        <v>0</v>
      </c>
      <c r="D871" s="1"/>
    </row>
    <row r="872" spans="1:4">
      <c r="A872" s="4">
        <v>45785</v>
      </c>
      <c r="B872" s="1">
        <v>13556.4054</v>
      </c>
      <c r="C872" s="1">
        <v>0</v>
      </c>
      <c r="D872" s="1"/>
    </row>
    <row r="873" spans="1:4">
      <c r="A873" s="4">
        <v>45786</v>
      </c>
      <c r="B873" s="1">
        <v>0</v>
      </c>
      <c r="C873" s="1">
        <v>10468.876700000001</v>
      </c>
      <c r="D873" s="1"/>
    </row>
    <row r="874" spans="1:4">
      <c r="A874" s="4">
        <v>45789</v>
      </c>
      <c r="B874" s="1">
        <v>0</v>
      </c>
      <c r="C874" s="1">
        <v>1306.8316</v>
      </c>
      <c r="D874" s="1"/>
    </row>
    <row r="875" spans="1:4">
      <c r="A875" s="4">
        <v>45790</v>
      </c>
      <c r="B875" s="1">
        <v>18579.953300000001</v>
      </c>
      <c r="C875" s="1">
        <v>0</v>
      </c>
      <c r="D875" s="1"/>
    </row>
    <row r="876" spans="1:4">
      <c r="A876" s="4">
        <v>45791</v>
      </c>
      <c r="B876" s="1">
        <v>0</v>
      </c>
      <c r="C876" s="1">
        <v>10692.8833</v>
      </c>
      <c r="D876" s="1"/>
    </row>
    <row r="877" spans="1:4">
      <c r="A877" s="4">
        <v>45792</v>
      </c>
      <c r="B877" s="1">
        <v>5400.8525</v>
      </c>
      <c r="C877" s="1">
        <v>0</v>
      </c>
      <c r="D877" s="1"/>
    </row>
    <row r="878" spans="1:4">
      <c r="A878" s="4">
        <v>45796</v>
      </c>
      <c r="B878" s="1">
        <v>25848.230899999999</v>
      </c>
      <c r="C878" s="1">
        <v>0</v>
      </c>
      <c r="D878" s="1"/>
    </row>
    <row r="879" spans="1:4">
      <c r="A879" s="4">
        <v>45797</v>
      </c>
      <c r="B879" s="1">
        <v>2999.4079999999999</v>
      </c>
      <c r="C879" s="1">
        <v>0</v>
      </c>
      <c r="D879" s="1"/>
    </row>
    <row r="880" spans="1:4">
      <c r="A880" s="4">
        <v>45798</v>
      </c>
      <c r="B880" s="1">
        <v>0</v>
      </c>
      <c r="C880" s="1">
        <v>3799.7179000000001</v>
      </c>
      <c r="D880" s="1"/>
    </row>
    <row r="881" spans="1:4">
      <c r="A881" s="4">
        <v>45799</v>
      </c>
      <c r="B881" s="1">
        <v>2212.2029000000002</v>
      </c>
      <c r="C881" s="1">
        <v>0</v>
      </c>
      <c r="D881" s="1"/>
    </row>
    <row r="882" spans="1:4">
      <c r="A882" s="4">
        <v>45800</v>
      </c>
      <c r="B882" s="1">
        <v>0</v>
      </c>
      <c r="C882" s="1">
        <v>7510.4232000000002</v>
      </c>
      <c r="D882" s="1"/>
    </row>
    <row r="883" spans="1:4">
      <c r="A883" s="4">
        <v>45803</v>
      </c>
      <c r="B883" s="1">
        <v>0</v>
      </c>
      <c r="C883" s="1">
        <v>6219.1854000000003</v>
      </c>
      <c r="D883" s="1"/>
    </row>
    <row r="884" spans="1:4">
      <c r="A884" s="4">
        <v>45804</v>
      </c>
      <c r="B884" s="1">
        <v>0</v>
      </c>
      <c r="C884" s="1">
        <v>7136.3428000000004</v>
      </c>
      <c r="D884" s="1"/>
    </row>
    <row r="885" spans="1:4">
      <c r="A885" s="4">
        <v>45805</v>
      </c>
      <c r="B885" s="1">
        <v>4364.9444000000003</v>
      </c>
      <c r="C885" s="1">
        <v>0</v>
      </c>
      <c r="D885" s="1"/>
    </row>
    <row r="886" spans="1:4">
      <c r="A886" s="4">
        <v>45806</v>
      </c>
      <c r="B886" s="1">
        <v>982.50490000000002</v>
      </c>
      <c r="C886" s="1">
        <v>0</v>
      </c>
      <c r="D886" s="1"/>
    </row>
    <row r="887" spans="1:4">
      <c r="A887" s="4">
        <v>45807</v>
      </c>
      <c r="B887" s="1">
        <v>449.69459999999998</v>
      </c>
      <c r="C887" s="1">
        <v>0</v>
      </c>
      <c r="D887" s="1"/>
    </row>
    <row r="888" spans="1:4">
      <c r="A888" s="4">
        <v>45810</v>
      </c>
      <c r="B888" s="1">
        <v>12867</v>
      </c>
      <c r="C888" s="1">
        <v>0</v>
      </c>
      <c r="D888" s="1"/>
    </row>
    <row r="889" spans="1:4">
      <c r="A889" s="4">
        <v>45811</v>
      </c>
      <c r="B889" s="1">
        <v>0</v>
      </c>
      <c r="C889" s="1">
        <v>3224</v>
      </c>
      <c r="D889" s="1"/>
    </row>
    <row r="890" spans="1:4">
      <c r="A890" s="4">
        <v>45812</v>
      </c>
      <c r="B890" s="1">
        <v>4030</v>
      </c>
      <c r="C890" s="1">
        <v>0</v>
      </c>
      <c r="D890" s="1"/>
    </row>
    <row r="891" spans="1:4">
      <c r="A891" s="4">
        <v>45813</v>
      </c>
      <c r="B891" s="1">
        <v>31286</v>
      </c>
      <c r="C891" s="1">
        <v>0</v>
      </c>
      <c r="D891" s="1"/>
    </row>
    <row r="892" spans="1:4">
      <c r="A892" s="4">
        <v>45814</v>
      </c>
      <c r="B892" s="1">
        <v>9046</v>
      </c>
      <c r="C892" s="1">
        <v>0</v>
      </c>
      <c r="D892" s="1"/>
    </row>
    <row r="893" spans="1:4">
      <c r="A893" s="4">
        <v>45817</v>
      </c>
      <c r="B893" s="1">
        <v>797</v>
      </c>
      <c r="C893" s="1">
        <v>0</v>
      </c>
      <c r="D893" s="1"/>
    </row>
    <row r="894" spans="1:4">
      <c r="A894" s="4">
        <v>45818</v>
      </c>
      <c r="B894" s="1">
        <v>0</v>
      </c>
      <c r="C894" s="1">
        <v>4238</v>
      </c>
      <c r="D894" s="5"/>
    </row>
    <row r="895" spans="1:4">
      <c r="A895" s="4">
        <v>45819</v>
      </c>
      <c r="B895" s="1">
        <v>7051</v>
      </c>
      <c r="C895" s="1">
        <v>0</v>
      </c>
      <c r="D895" s="1"/>
    </row>
    <row r="896" spans="1:4">
      <c r="A896" s="4">
        <v>45820</v>
      </c>
      <c r="B896" s="1">
        <v>13718</v>
      </c>
      <c r="C896" s="1">
        <v>0</v>
      </c>
      <c r="D896" s="1"/>
    </row>
    <row r="897" spans="1:4">
      <c r="A897" s="4">
        <v>45821</v>
      </c>
      <c r="B897" s="1">
        <v>7780</v>
      </c>
      <c r="C897" s="1">
        <v>0</v>
      </c>
      <c r="D897" s="1"/>
    </row>
    <row r="898" spans="1:4">
      <c r="A898" s="4">
        <v>45824</v>
      </c>
      <c r="B898" s="1">
        <v>1625</v>
      </c>
      <c r="C898" s="1">
        <v>0</v>
      </c>
      <c r="D898" s="1"/>
    </row>
    <row r="899" spans="1:4">
      <c r="A899" s="4">
        <v>45825</v>
      </c>
      <c r="B899" s="1">
        <v>0</v>
      </c>
      <c r="C899" s="1">
        <v>5973</v>
      </c>
      <c r="D899" s="5"/>
    </row>
    <row r="900" spans="1:4">
      <c r="A900" s="4">
        <v>45826</v>
      </c>
      <c r="B900" s="1">
        <v>24588</v>
      </c>
      <c r="C900" s="1">
        <v>0</v>
      </c>
      <c r="D900" s="1"/>
    </row>
    <row r="901" spans="1:4">
      <c r="A901" s="4">
        <v>45827</v>
      </c>
      <c r="B901" s="1">
        <v>22474</v>
      </c>
      <c r="C901" s="1">
        <v>0</v>
      </c>
      <c r="D901" s="1"/>
    </row>
    <row r="902" spans="1:4">
      <c r="A902" s="4">
        <v>45828</v>
      </c>
      <c r="B902" s="1">
        <v>0</v>
      </c>
      <c r="C902" s="1">
        <v>1025</v>
      </c>
      <c r="D902" s="1"/>
    </row>
    <row r="903" spans="1:4">
      <c r="A903" s="4">
        <v>45831</v>
      </c>
      <c r="B903" s="1">
        <v>0</v>
      </c>
      <c r="C903" s="1">
        <v>12957</v>
      </c>
      <c r="D903" s="1"/>
    </row>
    <row r="904" spans="1:4">
      <c r="A904" s="4">
        <v>45832</v>
      </c>
      <c r="B904" s="1">
        <v>0</v>
      </c>
      <c r="C904" s="1">
        <v>18866</v>
      </c>
      <c r="D904" s="1"/>
    </row>
    <row r="905" spans="1:4">
      <c r="A905" s="4">
        <v>45833</v>
      </c>
      <c r="B905" s="1">
        <v>16425</v>
      </c>
      <c r="C905" s="1"/>
      <c r="D905" s="1"/>
    </row>
    <row r="906" spans="1:4">
      <c r="A906" s="4">
        <v>45834</v>
      </c>
      <c r="B906" s="1">
        <v>0</v>
      </c>
      <c r="C906" s="1">
        <v>62045</v>
      </c>
      <c r="D906" s="1"/>
    </row>
    <row r="907" spans="1:4">
      <c r="A907" s="4">
        <v>45835</v>
      </c>
      <c r="B907" s="1">
        <v>466</v>
      </c>
      <c r="C907" s="1">
        <v>3782</v>
      </c>
      <c r="D907" s="1"/>
    </row>
    <row r="908" spans="1:4">
      <c r="A908" s="4">
        <v>45838</v>
      </c>
      <c r="B908" s="1">
        <v>0</v>
      </c>
      <c r="C908" s="1">
        <v>17185</v>
      </c>
      <c r="D908" s="1"/>
    </row>
    <row r="909" spans="1:4">
      <c r="A909" s="4">
        <v>45839</v>
      </c>
      <c r="B909" s="1">
        <v>169241</v>
      </c>
      <c r="C909" s="1">
        <v>0</v>
      </c>
      <c r="D909" s="1"/>
    </row>
    <row r="910" spans="1:4">
      <c r="A910" s="4">
        <v>45840</v>
      </c>
      <c r="B910" s="1">
        <v>0</v>
      </c>
      <c r="C910" s="1">
        <v>4087</v>
      </c>
      <c r="D910" s="1"/>
    </row>
    <row r="911" spans="1:4">
      <c r="A911" s="4">
        <v>45841</v>
      </c>
      <c r="B911" s="1">
        <v>100731</v>
      </c>
      <c r="C911" s="1">
        <v>0</v>
      </c>
      <c r="D911" s="1"/>
    </row>
    <row r="912" spans="1:4">
      <c r="A912" s="4">
        <v>45842</v>
      </c>
      <c r="B912" s="1">
        <v>2594</v>
      </c>
      <c r="C912" s="1">
        <v>0</v>
      </c>
      <c r="D912" s="1"/>
    </row>
    <row r="913" spans="1:4">
      <c r="A913" s="4">
        <v>45845</v>
      </c>
      <c r="B913" s="1">
        <v>15493</v>
      </c>
      <c r="C913" s="1"/>
      <c r="D913" s="1"/>
    </row>
    <row r="914" spans="1:4">
      <c r="A914" s="4">
        <v>45846</v>
      </c>
      <c r="B914" s="1">
        <v>0</v>
      </c>
      <c r="C914" s="1">
        <v>2698</v>
      </c>
      <c r="D914" s="1"/>
    </row>
    <row r="915" spans="1:4">
      <c r="A915" s="4">
        <v>45847</v>
      </c>
      <c r="B915" s="1">
        <v>0</v>
      </c>
      <c r="C915" s="1">
        <v>4610</v>
      </c>
      <c r="D915" s="1"/>
    </row>
    <row r="916" spans="1:4">
      <c r="A916" s="4">
        <v>45848</v>
      </c>
      <c r="B916" s="1">
        <v>22519</v>
      </c>
      <c r="C916" s="1"/>
      <c r="D916" s="1"/>
    </row>
    <row r="917" spans="1:4">
      <c r="A917" s="4">
        <v>45849</v>
      </c>
      <c r="B917" s="1">
        <v>8168</v>
      </c>
      <c r="C917" s="1"/>
      <c r="D917" s="1"/>
    </row>
    <row r="918" spans="1:4">
      <c r="A918" s="4">
        <v>45852</v>
      </c>
      <c r="B918" s="1">
        <v>0</v>
      </c>
      <c r="C918" s="1">
        <v>45</v>
      </c>
      <c r="D918" s="1"/>
    </row>
    <row r="919" spans="1:4">
      <c r="A919" s="4">
        <v>45853</v>
      </c>
      <c r="B919" s="1">
        <v>0</v>
      </c>
      <c r="C919" s="1">
        <v>8586</v>
      </c>
      <c r="D919" s="1"/>
    </row>
    <row r="920" spans="1:4">
      <c r="A920" s="4">
        <v>45854</v>
      </c>
      <c r="B920" s="1">
        <v>8409</v>
      </c>
      <c r="C920" s="1"/>
      <c r="D920" s="1"/>
    </row>
    <row r="921" spans="1:4">
      <c r="A921" s="4">
        <v>45855</v>
      </c>
      <c r="B921" s="1">
        <v>6399</v>
      </c>
      <c r="C921" s="1"/>
      <c r="D921" s="1"/>
    </row>
    <row r="922" spans="1:4">
      <c r="A922" s="4">
        <v>45856</v>
      </c>
      <c r="B922" s="1">
        <v>5319</v>
      </c>
      <c r="C922" s="1"/>
      <c r="D922" s="1"/>
    </row>
    <row r="923" spans="1:4">
      <c r="A923" s="4">
        <v>45859</v>
      </c>
      <c r="B923" s="1">
        <v>3228</v>
      </c>
      <c r="C923" s="1"/>
      <c r="D923" s="1"/>
    </row>
    <row r="924" spans="1:4">
      <c r="A924" s="4">
        <v>45860</v>
      </c>
      <c r="B924" s="1">
        <v>2747</v>
      </c>
      <c r="C924" s="1"/>
      <c r="D924" s="1"/>
    </row>
    <row r="925" spans="1:4">
      <c r="A925" s="4">
        <v>45861</v>
      </c>
      <c r="B925" s="1">
        <v>0</v>
      </c>
      <c r="C925" s="1"/>
      <c r="D925" s="1"/>
    </row>
    <row r="926" spans="1:4">
      <c r="A926" s="4">
        <v>45862</v>
      </c>
      <c r="B926" s="1">
        <v>0</v>
      </c>
      <c r="C926" s="1"/>
      <c r="D926" s="1"/>
    </row>
    <row r="927" spans="1:4">
      <c r="A927" s="4">
        <v>45863</v>
      </c>
      <c r="B927" s="1">
        <v>12456</v>
      </c>
      <c r="C927" s="1"/>
      <c r="D927" s="1"/>
    </row>
    <row r="928" spans="1:4">
      <c r="A928" s="4">
        <v>45866</v>
      </c>
      <c r="B928" s="1">
        <v>15546</v>
      </c>
      <c r="C928" s="1"/>
      <c r="D928" s="1"/>
    </row>
    <row r="929" spans="1:5">
      <c r="A929" s="4">
        <v>45867</v>
      </c>
      <c r="B929" s="1">
        <v>17280</v>
      </c>
      <c r="C929" s="1"/>
      <c r="D929" s="1"/>
    </row>
    <row r="930" spans="1:5">
      <c r="A930" s="4">
        <v>45868</v>
      </c>
      <c r="B930" s="1">
        <v>46215</v>
      </c>
      <c r="C930" s="1"/>
      <c r="D930" s="1"/>
    </row>
    <row r="931" spans="1:5">
      <c r="A931" s="4">
        <v>45869</v>
      </c>
      <c r="B931" s="1">
        <v>7317</v>
      </c>
      <c r="C931" s="1"/>
      <c r="D931" s="1"/>
    </row>
    <row r="932" spans="1:5">
      <c r="A932" s="4">
        <v>45870</v>
      </c>
      <c r="B932" s="1">
        <v>0</v>
      </c>
      <c r="C932" s="1">
        <v>3543</v>
      </c>
      <c r="D932" s="1"/>
    </row>
    <row r="933" spans="1:5">
      <c r="A933" s="4">
        <v>45873</v>
      </c>
      <c r="B933" s="1">
        <v>0</v>
      </c>
      <c r="C933" s="1"/>
      <c r="D933" s="1"/>
      <c r="E933" s="1">
        <v>10000</v>
      </c>
    </row>
    <row r="934" spans="1:5">
      <c r="A934" s="4">
        <v>45874</v>
      </c>
      <c r="B934" s="1">
        <v>0</v>
      </c>
      <c r="C934" s="1"/>
      <c r="D934" s="1"/>
      <c r="E934" s="1">
        <v>10000</v>
      </c>
    </row>
    <row r="935" spans="1:5">
      <c r="A935" s="4">
        <v>45875</v>
      </c>
      <c r="B935" s="1">
        <v>0</v>
      </c>
      <c r="C935" s="1"/>
      <c r="D935" s="1"/>
      <c r="E935" s="1">
        <v>10000</v>
      </c>
    </row>
    <row r="936" spans="1:5">
      <c r="A936" s="4">
        <v>45876</v>
      </c>
      <c r="B936" s="1">
        <v>0</v>
      </c>
      <c r="C936" s="1"/>
      <c r="D936" s="1"/>
      <c r="E936" s="1">
        <v>10000</v>
      </c>
    </row>
    <row r="937" spans="1:5">
      <c r="A937" s="4">
        <v>45877</v>
      </c>
      <c r="B937" s="1">
        <v>0</v>
      </c>
      <c r="C937" s="1"/>
      <c r="D937" s="1"/>
      <c r="E937" s="1">
        <v>10000</v>
      </c>
    </row>
    <row r="938" spans="1:5">
      <c r="A938" s="4">
        <v>45880</v>
      </c>
      <c r="B938" s="1">
        <v>0</v>
      </c>
      <c r="C938" s="1"/>
      <c r="D938" s="1"/>
      <c r="E938" s="1">
        <v>10000</v>
      </c>
    </row>
    <row r="939" spans="1:5">
      <c r="A939" s="4">
        <v>45881</v>
      </c>
      <c r="B939" s="1">
        <v>0</v>
      </c>
      <c r="C939" s="1"/>
      <c r="D939" s="1"/>
      <c r="E939" s="1">
        <v>10000</v>
      </c>
    </row>
    <row r="940" spans="1:5">
      <c r="A940" s="4">
        <v>45882</v>
      </c>
      <c r="B940" s="1">
        <v>0</v>
      </c>
      <c r="C940" s="1"/>
      <c r="D940" s="1"/>
      <c r="E940" s="1">
        <v>10000</v>
      </c>
    </row>
    <row r="941" spans="1:5">
      <c r="A941" s="4">
        <v>45883</v>
      </c>
      <c r="B941" s="1">
        <v>0</v>
      </c>
      <c r="C941" s="1"/>
      <c r="D941" s="1"/>
      <c r="E941" s="1">
        <v>10000</v>
      </c>
    </row>
    <row r="942" spans="1:5">
      <c r="A942" s="4">
        <v>45884</v>
      </c>
      <c r="B942" s="1">
        <v>0</v>
      </c>
      <c r="C942" s="1"/>
      <c r="D942" s="1"/>
      <c r="E942" s="1">
        <v>10000</v>
      </c>
    </row>
    <row r="943" spans="1:5">
      <c r="A943" s="4">
        <v>45887</v>
      </c>
      <c r="B943" s="1">
        <v>0</v>
      </c>
      <c r="C943" s="1"/>
      <c r="D943" s="1"/>
      <c r="E943" s="1">
        <v>10000</v>
      </c>
    </row>
    <row r="944" spans="1:5">
      <c r="A944" s="4">
        <v>45888</v>
      </c>
      <c r="B944" s="1">
        <v>0</v>
      </c>
      <c r="C944" s="1"/>
      <c r="D944" s="1"/>
      <c r="E944" s="1">
        <v>10000</v>
      </c>
    </row>
    <row r="945" spans="1:5">
      <c r="A945" s="4">
        <v>45889</v>
      </c>
      <c r="B945" s="1">
        <v>0</v>
      </c>
      <c r="C945" s="1"/>
      <c r="D945" s="1"/>
      <c r="E945" s="1">
        <v>10000</v>
      </c>
    </row>
    <row r="946" spans="1:5">
      <c r="A946" s="4">
        <v>45890</v>
      </c>
      <c r="B946" s="1">
        <v>0</v>
      </c>
      <c r="C946" s="1"/>
      <c r="D946" s="1"/>
      <c r="E946" s="1">
        <v>10000</v>
      </c>
    </row>
    <row r="947" spans="1:5">
      <c r="A947" s="4">
        <v>45891</v>
      </c>
      <c r="B947" s="1">
        <v>0</v>
      </c>
      <c r="C947" s="1"/>
      <c r="D947" s="1"/>
      <c r="E947" s="1">
        <v>10000</v>
      </c>
    </row>
    <row r="948" spans="1:5">
      <c r="A948" s="4">
        <v>45894</v>
      </c>
      <c r="B948" s="1">
        <v>0</v>
      </c>
      <c r="C948" s="1"/>
      <c r="D948" s="1"/>
      <c r="E948" s="1">
        <v>10000</v>
      </c>
    </row>
    <row r="949" spans="1:5">
      <c r="A949" s="4">
        <v>45895</v>
      </c>
      <c r="B949" s="1">
        <v>0</v>
      </c>
      <c r="C949" s="1"/>
      <c r="D949" s="1"/>
      <c r="E949" s="1">
        <v>10000</v>
      </c>
    </row>
    <row r="950" spans="1:5">
      <c r="A950" s="4">
        <v>45896</v>
      </c>
      <c r="B950" s="1">
        <v>0</v>
      </c>
      <c r="C950" s="1"/>
      <c r="D950" s="1"/>
      <c r="E950" s="1">
        <v>10000</v>
      </c>
    </row>
    <row r="951" spans="1:5">
      <c r="A951" s="4">
        <v>45897</v>
      </c>
      <c r="B951" s="1">
        <v>0</v>
      </c>
      <c r="C951" s="1"/>
      <c r="D951" s="1"/>
      <c r="E951" s="1">
        <v>10000</v>
      </c>
    </row>
    <row r="952" spans="1:5">
      <c r="A952" s="4">
        <v>45898</v>
      </c>
      <c r="B952" s="1">
        <v>0</v>
      </c>
      <c r="C952" s="1"/>
      <c r="D952" s="1"/>
      <c r="E952" s="1">
        <v>10000</v>
      </c>
    </row>
    <row r="953" spans="1:5">
      <c r="A953" s="4">
        <v>45901</v>
      </c>
      <c r="B953" s="1">
        <v>0</v>
      </c>
      <c r="C953" s="1"/>
      <c r="D953" s="1"/>
      <c r="E953" s="1">
        <v>10000</v>
      </c>
    </row>
    <row r="954" spans="1:5">
      <c r="A954" s="4">
        <v>45902</v>
      </c>
      <c r="B954" s="1">
        <v>0</v>
      </c>
      <c r="C954" s="1"/>
      <c r="D954" s="1"/>
      <c r="E954" s="1">
        <v>10000</v>
      </c>
    </row>
    <row r="955" spans="1:5">
      <c r="A955" s="4">
        <v>45903</v>
      </c>
      <c r="B955" s="1">
        <v>0</v>
      </c>
      <c r="C955" s="1"/>
      <c r="D955" s="1"/>
      <c r="E955" s="1">
        <v>10000</v>
      </c>
    </row>
    <row r="956" spans="1:5">
      <c r="A956" s="4">
        <v>45904</v>
      </c>
      <c r="B956" s="1">
        <v>0</v>
      </c>
      <c r="C956" s="1"/>
      <c r="D956" s="1"/>
      <c r="E956" s="1">
        <v>10000</v>
      </c>
    </row>
    <row r="957" spans="1:5">
      <c r="A957" s="4">
        <v>45905</v>
      </c>
      <c r="B957" s="1">
        <v>0</v>
      </c>
      <c r="C957" s="1"/>
      <c r="D957" s="1"/>
      <c r="E957" s="1">
        <v>10000</v>
      </c>
    </row>
    <row r="958" spans="1:5">
      <c r="A958" s="4">
        <v>45908</v>
      </c>
      <c r="B958" s="1">
        <v>0</v>
      </c>
      <c r="C958" s="1"/>
      <c r="D958" s="1"/>
      <c r="E958" s="1">
        <v>10000</v>
      </c>
    </row>
    <row r="959" spans="1:5">
      <c r="A959" s="4">
        <v>45909</v>
      </c>
      <c r="B959" s="1">
        <v>0</v>
      </c>
      <c r="C959" s="1"/>
      <c r="D959" s="1"/>
      <c r="E959" s="1">
        <v>10000</v>
      </c>
    </row>
    <row r="960" spans="1:5">
      <c r="A960" s="4">
        <v>45910</v>
      </c>
      <c r="B960" s="1">
        <v>0</v>
      </c>
      <c r="C960" s="1"/>
      <c r="D960" s="1"/>
      <c r="E960" s="1">
        <v>10000</v>
      </c>
    </row>
    <row r="961" spans="1:5">
      <c r="A961" s="4">
        <v>45911</v>
      </c>
      <c r="B961" s="1">
        <v>0</v>
      </c>
      <c r="C961" s="1"/>
      <c r="D961" s="1"/>
      <c r="E961" s="1">
        <v>10000</v>
      </c>
    </row>
    <row r="962" spans="1:5">
      <c r="A962" s="4">
        <v>45912</v>
      </c>
      <c r="B962" s="1">
        <v>0</v>
      </c>
      <c r="C962" s="1"/>
      <c r="D962" s="1"/>
      <c r="E962" s="1">
        <v>10000</v>
      </c>
    </row>
    <row r="963" spans="1:5">
      <c r="A963" s="4">
        <v>45915</v>
      </c>
      <c r="B963" s="1">
        <v>0</v>
      </c>
      <c r="C963" s="1"/>
      <c r="D963" s="1"/>
      <c r="E963" s="1">
        <v>10000</v>
      </c>
    </row>
    <row r="964" spans="1:5">
      <c r="A964" s="4">
        <v>45916</v>
      </c>
      <c r="B964" s="1">
        <v>0</v>
      </c>
      <c r="C964" s="1"/>
      <c r="D964" s="1"/>
      <c r="E964" s="1">
        <v>10000</v>
      </c>
    </row>
    <row r="965" spans="1:5">
      <c r="A965" s="4">
        <v>45917</v>
      </c>
      <c r="B965" s="1">
        <v>0</v>
      </c>
      <c r="C965" s="1"/>
      <c r="D965" s="1"/>
      <c r="E965" s="1">
        <v>10000</v>
      </c>
    </row>
    <row r="966" spans="1:5">
      <c r="A966" s="4">
        <v>45918</v>
      </c>
      <c r="B966" s="1">
        <v>0</v>
      </c>
      <c r="C966" s="1"/>
      <c r="D966" s="1"/>
      <c r="E966" s="1">
        <v>10000</v>
      </c>
    </row>
    <row r="967" spans="1:5">
      <c r="A967" s="4">
        <v>45919</v>
      </c>
      <c r="B967" s="1">
        <v>0</v>
      </c>
      <c r="C967" s="1"/>
      <c r="D967" s="1"/>
      <c r="E967" s="1">
        <v>10000</v>
      </c>
    </row>
    <row r="968" spans="1:5">
      <c r="A968" s="4">
        <v>45922</v>
      </c>
      <c r="B968" s="1">
        <v>0</v>
      </c>
      <c r="C968" s="1"/>
      <c r="D968" s="1"/>
      <c r="E968" s="1">
        <v>10000</v>
      </c>
    </row>
    <row r="969" spans="1:5">
      <c r="A969" s="4">
        <v>45923</v>
      </c>
      <c r="B969" s="1">
        <v>0</v>
      </c>
      <c r="C969" s="1"/>
      <c r="D969" s="1"/>
      <c r="E969" s="1">
        <v>10000</v>
      </c>
    </row>
    <row r="970" spans="1:5">
      <c r="A970" s="4">
        <v>45924</v>
      </c>
      <c r="B970" s="1">
        <v>0</v>
      </c>
      <c r="C970" s="1"/>
      <c r="D970" s="1"/>
      <c r="E970" s="1">
        <v>10000</v>
      </c>
    </row>
    <row r="971" spans="1:5">
      <c r="A971" s="4">
        <v>45925</v>
      </c>
      <c r="B971" s="1">
        <v>0</v>
      </c>
      <c r="C971" s="1"/>
      <c r="D971" s="1"/>
      <c r="E971" s="1">
        <v>10000</v>
      </c>
    </row>
    <row r="972" spans="1:5">
      <c r="A972" s="4">
        <v>45926</v>
      </c>
      <c r="B972" s="1">
        <v>0</v>
      </c>
      <c r="C972" s="1"/>
      <c r="D972" s="1"/>
      <c r="E972" s="1">
        <v>10000</v>
      </c>
    </row>
    <row r="973" spans="1:5">
      <c r="A973" s="4">
        <v>45929</v>
      </c>
      <c r="B973" s="1">
        <v>0</v>
      </c>
      <c r="C973" s="1"/>
      <c r="D973" s="1"/>
      <c r="E973" s="1">
        <v>10000</v>
      </c>
    </row>
    <row r="974" spans="1:5">
      <c r="A974" s="4">
        <v>45930</v>
      </c>
      <c r="B974" s="1">
        <v>0</v>
      </c>
      <c r="C974" s="1"/>
      <c r="D974" s="1"/>
      <c r="E974" s="1">
        <v>10000</v>
      </c>
    </row>
    <row r="975" spans="1:5">
      <c r="A975" s="4">
        <v>45931</v>
      </c>
      <c r="B975" s="1">
        <v>0</v>
      </c>
      <c r="C975" s="1"/>
      <c r="D975" s="1"/>
      <c r="E975" s="1">
        <v>10000</v>
      </c>
    </row>
    <row r="976" spans="1:5">
      <c r="A976" s="4">
        <v>45932</v>
      </c>
      <c r="B976" s="1">
        <v>0</v>
      </c>
      <c r="C976" s="1"/>
      <c r="D976" s="1"/>
      <c r="E976" s="1">
        <v>10000</v>
      </c>
    </row>
    <row r="977" spans="1:5">
      <c r="A977" s="4">
        <v>45933</v>
      </c>
      <c r="B977" s="1">
        <v>0</v>
      </c>
      <c r="C977" s="1"/>
      <c r="D977" s="1"/>
      <c r="E977" s="1">
        <v>10000</v>
      </c>
    </row>
    <row r="978" spans="1:5">
      <c r="A978" s="4">
        <v>45936</v>
      </c>
      <c r="B978" s="1">
        <v>0</v>
      </c>
      <c r="C978" s="1"/>
      <c r="D978" s="1"/>
      <c r="E978" s="1">
        <v>10000</v>
      </c>
    </row>
    <row r="979" spans="1:5">
      <c r="A979" s="4">
        <v>45937</v>
      </c>
      <c r="B979" s="1">
        <v>0</v>
      </c>
      <c r="C979" s="1"/>
      <c r="D979" s="1"/>
      <c r="E979" s="1">
        <v>10000</v>
      </c>
    </row>
    <row r="980" spans="1:5">
      <c r="A980" s="4">
        <v>45938</v>
      </c>
      <c r="B980" s="1">
        <v>0</v>
      </c>
      <c r="C980" s="1"/>
      <c r="D980" s="1"/>
      <c r="E980" s="1">
        <v>10000</v>
      </c>
    </row>
    <row r="981" spans="1:5">
      <c r="A981" s="4">
        <v>45939</v>
      </c>
      <c r="B981" s="1">
        <v>0</v>
      </c>
      <c r="C981" s="1"/>
      <c r="D981" s="1"/>
      <c r="E981" s="1">
        <v>10000</v>
      </c>
    </row>
    <row r="982" spans="1:5">
      <c r="A982" s="4">
        <v>45940</v>
      </c>
      <c r="B982" s="1">
        <v>0</v>
      </c>
      <c r="C982" s="1"/>
      <c r="D982" s="1"/>
      <c r="E982" s="1">
        <v>10000</v>
      </c>
    </row>
    <row r="983" spans="1:5">
      <c r="A983" s="4">
        <v>45943</v>
      </c>
      <c r="B983" s="1">
        <v>0</v>
      </c>
      <c r="C983" s="1"/>
      <c r="D983" s="1"/>
      <c r="E983" s="1">
        <v>10000</v>
      </c>
    </row>
    <row r="984" spans="1:5">
      <c r="A984" s="4">
        <v>45944</v>
      </c>
      <c r="B984" s="1">
        <v>0</v>
      </c>
      <c r="C984" s="1"/>
      <c r="D984" s="1"/>
      <c r="E984" s="1">
        <v>10000</v>
      </c>
    </row>
    <row r="985" spans="1:5">
      <c r="A985" s="4">
        <v>45945</v>
      </c>
      <c r="B985" s="1">
        <v>0</v>
      </c>
      <c r="C985" s="1"/>
      <c r="D985" s="1"/>
      <c r="E985" s="1">
        <v>10000</v>
      </c>
    </row>
    <row r="986" spans="1:5">
      <c r="A986" s="4">
        <v>45946</v>
      </c>
      <c r="B986" s="1">
        <v>0</v>
      </c>
      <c r="C986" s="1"/>
      <c r="D986" s="1"/>
      <c r="E986" s="1">
        <v>10000</v>
      </c>
    </row>
    <row r="987" spans="1:5">
      <c r="A987" s="4">
        <v>45947</v>
      </c>
      <c r="B987" s="1">
        <v>0</v>
      </c>
      <c r="C987" s="1"/>
      <c r="D987" s="1"/>
      <c r="E987" s="1">
        <v>10000</v>
      </c>
    </row>
    <row r="988" spans="1:5">
      <c r="A988" s="4">
        <v>45950</v>
      </c>
      <c r="B988" s="1">
        <v>0</v>
      </c>
      <c r="C988" s="1"/>
      <c r="D988" s="1"/>
      <c r="E988" s="1">
        <v>10000</v>
      </c>
    </row>
    <row r="989" spans="1:5">
      <c r="A989" s="4">
        <v>45951</v>
      </c>
      <c r="B989" s="1">
        <v>0</v>
      </c>
      <c r="C989" s="1"/>
      <c r="D989" s="1"/>
      <c r="E989" s="1">
        <v>10000</v>
      </c>
    </row>
    <row r="990" spans="1:5">
      <c r="A990" s="4">
        <v>45952</v>
      </c>
      <c r="B990" s="1">
        <v>0</v>
      </c>
      <c r="C990" s="1"/>
      <c r="D990" s="1"/>
      <c r="E990" s="1">
        <v>10000</v>
      </c>
    </row>
    <row r="991" spans="1:5">
      <c r="A991" s="4">
        <v>45953</v>
      </c>
      <c r="B991" s="1">
        <v>0</v>
      </c>
      <c r="C991" s="1"/>
      <c r="D991" s="1"/>
      <c r="E991" s="1">
        <v>10000</v>
      </c>
    </row>
    <row r="992" spans="1:5">
      <c r="A992" s="4">
        <v>45954</v>
      </c>
      <c r="B992" s="1">
        <v>0</v>
      </c>
      <c r="C992" s="1"/>
      <c r="D992" s="1"/>
      <c r="E992" s="1">
        <v>10000</v>
      </c>
    </row>
    <row r="993" spans="1:5">
      <c r="A993" s="4">
        <v>45957</v>
      </c>
      <c r="B993" s="1">
        <v>0</v>
      </c>
      <c r="C993" s="1"/>
      <c r="D993" s="1"/>
      <c r="E993" s="1">
        <v>10000</v>
      </c>
    </row>
    <row r="994" spans="1:5">
      <c r="A994" s="4">
        <v>45958</v>
      </c>
      <c r="B994" s="1">
        <v>0</v>
      </c>
      <c r="C994" s="1"/>
      <c r="D994" s="1"/>
      <c r="E994" s="1">
        <v>10000</v>
      </c>
    </row>
    <row r="995" spans="1:5">
      <c r="A995" s="4">
        <v>45959</v>
      </c>
      <c r="B995" s="1">
        <v>0</v>
      </c>
      <c r="C995" s="1"/>
      <c r="D995" s="1"/>
      <c r="E995" s="1">
        <v>10000</v>
      </c>
    </row>
    <row r="996" spans="1:5">
      <c r="A996" s="4">
        <v>45960</v>
      </c>
      <c r="B996" s="1">
        <v>0</v>
      </c>
      <c r="C996" s="1"/>
      <c r="D996" s="1"/>
      <c r="E996" s="1">
        <v>10000</v>
      </c>
    </row>
    <row r="997" spans="1:5">
      <c r="A997" s="4">
        <v>45961</v>
      </c>
      <c r="B997" s="1">
        <v>0</v>
      </c>
      <c r="C997" s="1"/>
      <c r="D997" s="1"/>
      <c r="E997" s="1">
        <v>10000</v>
      </c>
    </row>
    <row r="998" spans="1:5">
      <c r="A998" s="4">
        <v>45964</v>
      </c>
      <c r="B998" s="1">
        <v>0</v>
      </c>
      <c r="C998" s="1"/>
      <c r="D998" s="1"/>
      <c r="E998" s="1">
        <v>10000</v>
      </c>
    </row>
    <row r="999" spans="1:5">
      <c r="A999" s="4">
        <v>45965</v>
      </c>
      <c r="B999" s="1">
        <v>0</v>
      </c>
      <c r="C999" s="1"/>
      <c r="D999" s="1"/>
      <c r="E999" s="1">
        <v>10000</v>
      </c>
    </row>
    <row r="1000" spans="1:5">
      <c r="A1000" s="4">
        <v>45966</v>
      </c>
      <c r="B1000" s="1">
        <v>0</v>
      </c>
      <c r="C1000" s="1"/>
      <c r="D1000" s="1"/>
      <c r="E1000" s="1">
        <v>10000</v>
      </c>
    </row>
    <row r="1001" spans="1:5">
      <c r="A1001" s="4">
        <v>45967</v>
      </c>
      <c r="B1001" s="1">
        <v>0</v>
      </c>
      <c r="C1001" s="1"/>
      <c r="D1001" s="1"/>
      <c r="E1001" s="1">
        <v>10000</v>
      </c>
    </row>
    <row r="1002" spans="1:5">
      <c r="A1002" s="4">
        <v>45968</v>
      </c>
      <c r="B1002" s="1">
        <v>0</v>
      </c>
      <c r="C1002" s="1"/>
      <c r="D1002" s="1"/>
      <c r="E1002" s="1">
        <v>10000</v>
      </c>
    </row>
    <row r="1003" spans="1:5">
      <c r="A1003" s="4">
        <v>45971</v>
      </c>
      <c r="B1003" s="1">
        <v>0</v>
      </c>
      <c r="C1003" s="1"/>
      <c r="D1003" s="1"/>
      <c r="E1003" s="1">
        <v>10000</v>
      </c>
    </row>
    <row r="1004" spans="1:5">
      <c r="A1004" s="4">
        <v>45972</v>
      </c>
      <c r="B1004" s="1">
        <v>0</v>
      </c>
      <c r="C1004" s="1"/>
      <c r="D1004" s="1"/>
      <c r="E1004" s="1">
        <v>10000</v>
      </c>
    </row>
    <row r="1005" spans="1:5">
      <c r="A1005" s="4">
        <v>45973</v>
      </c>
      <c r="B1005" s="1">
        <v>0</v>
      </c>
      <c r="C1005" s="1"/>
      <c r="D1005" s="1"/>
      <c r="E1005" s="1">
        <v>10000</v>
      </c>
    </row>
    <row r="1006" spans="1:5">
      <c r="A1006" s="4">
        <v>45974</v>
      </c>
      <c r="B1006" s="1">
        <v>0</v>
      </c>
      <c r="C1006" s="1"/>
      <c r="D1006" s="1"/>
      <c r="E1006" s="1">
        <v>10000</v>
      </c>
    </row>
    <row r="1007" spans="1:5">
      <c r="A1007" s="4">
        <v>45975</v>
      </c>
      <c r="B1007" s="1">
        <v>0</v>
      </c>
      <c r="C1007" s="1"/>
      <c r="D1007" s="1"/>
      <c r="E1007" s="1">
        <v>10000</v>
      </c>
    </row>
    <row r="1008" spans="1:5">
      <c r="A1008" s="4">
        <v>45978</v>
      </c>
      <c r="B1008" s="1">
        <v>0</v>
      </c>
      <c r="C1008" s="1"/>
      <c r="D1008" s="1"/>
      <c r="E1008" s="1">
        <v>10000</v>
      </c>
    </row>
    <row r="1009" spans="1:5">
      <c r="A1009" s="4">
        <v>45979</v>
      </c>
      <c r="B1009" s="1">
        <v>0</v>
      </c>
      <c r="C1009" s="1"/>
      <c r="D1009" s="1"/>
      <c r="E1009" s="1">
        <v>10000</v>
      </c>
    </row>
    <row r="1010" spans="1:5">
      <c r="A1010" s="4">
        <v>45980</v>
      </c>
      <c r="B1010" s="1">
        <v>0</v>
      </c>
      <c r="C1010" s="1"/>
      <c r="D1010" s="1"/>
      <c r="E1010" s="1">
        <v>10000</v>
      </c>
    </row>
    <row r="1011" spans="1:5">
      <c r="A1011" s="4">
        <v>45981</v>
      </c>
      <c r="B1011" s="1">
        <v>0</v>
      </c>
      <c r="C1011" s="1"/>
      <c r="D1011" s="1"/>
      <c r="E1011" s="1">
        <v>10000</v>
      </c>
    </row>
    <row r="1012" spans="1:5">
      <c r="A1012" s="4">
        <v>45982</v>
      </c>
      <c r="B1012" s="1">
        <v>0</v>
      </c>
      <c r="C1012" s="1"/>
      <c r="D1012" s="1"/>
      <c r="E1012" s="1">
        <v>10000</v>
      </c>
    </row>
    <row r="1013" spans="1:5">
      <c r="A1013" s="4">
        <v>45985</v>
      </c>
      <c r="B1013" s="1">
        <v>0</v>
      </c>
      <c r="C1013" s="1"/>
      <c r="D1013" s="1"/>
      <c r="E1013" s="1">
        <v>10000</v>
      </c>
    </row>
    <row r="1014" spans="1:5">
      <c r="A1014" s="4">
        <v>45986</v>
      </c>
      <c r="B1014" s="1">
        <v>0</v>
      </c>
      <c r="C1014" s="1"/>
      <c r="D1014" s="1"/>
      <c r="E1014" s="1">
        <v>10000</v>
      </c>
    </row>
    <row r="1015" spans="1:5">
      <c r="A1015" s="4">
        <v>45987</v>
      </c>
      <c r="B1015" s="1">
        <v>0</v>
      </c>
      <c r="C1015" s="1"/>
      <c r="D1015" s="1"/>
      <c r="E1015" s="1">
        <v>10000</v>
      </c>
    </row>
    <row r="1016" spans="1:5">
      <c r="A1016" s="4">
        <v>45988</v>
      </c>
      <c r="B1016" s="1">
        <v>0</v>
      </c>
      <c r="C1016" s="1"/>
      <c r="D1016" s="1"/>
      <c r="E1016" s="1">
        <v>10000</v>
      </c>
    </row>
    <row r="1017" spans="1:5">
      <c r="A1017" s="4">
        <v>45989</v>
      </c>
      <c r="B1017" s="1">
        <v>0</v>
      </c>
      <c r="C1017" s="1"/>
      <c r="D1017" s="1"/>
      <c r="E1017" s="1">
        <v>10000</v>
      </c>
    </row>
    <row r="1018" spans="1:5">
      <c r="A1018" s="4">
        <v>45992</v>
      </c>
      <c r="B1018" s="1">
        <v>0</v>
      </c>
      <c r="C1018" s="1"/>
      <c r="D1018" s="1"/>
      <c r="E1018" s="1">
        <v>10000</v>
      </c>
    </row>
    <row r="1019" spans="1:5">
      <c r="A1019" s="4">
        <v>45993</v>
      </c>
      <c r="B1019" s="1">
        <v>0</v>
      </c>
      <c r="C1019" s="1"/>
      <c r="D1019" s="1"/>
      <c r="E1019" s="1">
        <v>10000</v>
      </c>
    </row>
    <row r="1020" spans="1:5">
      <c r="A1020" s="4">
        <v>45994</v>
      </c>
      <c r="B1020" s="1">
        <v>0</v>
      </c>
      <c r="C1020" s="1"/>
      <c r="D1020" s="1"/>
      <c r="E1020" s="1">
        <v>10000</v>
      </c>
    </row>
    <row r="1021" spans="1:5">
      <c r="A1021" s="4">
        <v>45995</v>
      </c>
      <c r="B1021" s="1">
        <v>0</v>
      </c>
      <c r="C1021" s="1"/>
      <c r="D1021" s="1"/>
      <c r="E1021" s="1">
        <v>10000</v>
      </c>
    </row>
    <row r="1022" spans="1:5">
      <c r="A1022" s="4">
        <v>45996</v>
      </c>
      <c r="B1022" s="1">
        <v>0</v>
      </c>
      <c r="C1022" s="1"/>
      <c r="D1022" s="1"/>
      <c r="E1022" s="1">
        <v>10000</v>
      </c>
    </row>
    <row r="1023" spans="1:5">
      <c r="A1023" s="4">
        <v>45999</v>
      </c>
      <c r="B1023" s="1">
        <v>0</v>
      </c>
      <c r="C1023" s="1"/>
      <c r="D1023" s="1"/>
      <c r="E1023" s="1">
        <v>10000</v>
      </c>
    </row>
    <row r="1024" spans="1:5">
      <c r="A1024" s="4">
        <v>46000</v>
      </c>
      <c r="B1024" s="1">
        <v>0</v>
      </c>
      <c r="C1024" s="1"/>
      <c r="D1024" s="1"/>
      <c r="E1024" s="1">
        <v>10000</v>
      </c>
    </row>
    <row r="1025" spans="1:5">
      <c r="A1025" s="4">
        <v>46001</v>
      </c>
      <c r="B1025" s="1">
        <v>0</v>
      </c>
      <c r="C1025" s="1"/>
      <c r="D1025" s="1"/>
      <c r="E1025" s="1">
        <v>10000</v>
      </c>
    </row>
    <row r="1026" spans="1:5">
      <c r="A1026" s="4">
        <v>46002</v>
      </c>
      <c r="B1026" s="1">
        <v>0</v>
      </c>
      <c r="C1026" s="1"/>
      <c r="D1026" s="1"/>
      <c r="E1026" s="1">
        <v>10000</v>
      </c>
    </row>
    <row r="1027" spans="1:5">
      <c r="A1027" s="4">
        <v>46003</v>
      </c>
      <c r="B1027" s="1">
        <v>0</v>
      </c>
      <c r="C1027" s="1"/>
      <c r="D1027" s="1"/>
      <c r="E1027" s="1">
        <v>10000</v>
      </c>
    </row>
    <row r="1028" spans="1:5">
      <c r="A1028" s="4">
        <v>46006</v>
      </c>
      <c r="B1028" s="1">
        <v>0</v>
      </c>
      <c r="C1028" s="1"/>
      <c r="D1028" s="1"/>
      <c r="E1028" s="1">
        <v>10000</v>
      </c>
    </row>
    <row r="1029" spans="1:5">
      <c r="A1029" s="4">
        <v>46007</v>
      </c>
      <c r="B1029" s="1">
        <v>0</v>
      </c>
      <c r="C1029" s="1"/>
      <c r="D1029" s="1"/>
      <c r="E1029" s="1">
        <v>10000</v>
      </c>
    </row>
    <row r="1030" spans="1:5">
      <c r="A1030" s="4">
        <v>46008</v>
      </c>
      <c r="B1030" s="1">
        <v>0</v>
      </c>
      <c r="C1030" s="1"/>
      <c r="D1030" s="1"/>
      <c r="E1030" s="1">
        <v>10000</v>
      </c>
    </row>
    <row r="1031" spans="1:5">
      <c r="A1031" s="4">
        <v>46009</v>
      </c>
      <c r="B1031" s="1">
        <v>0</v>
      </c>
      <c r="C1031" s="1"/>
      <c r="D1031" s="1"/>
      <c r="E1031" s="1">
        <v>10000</v>
      </c>
    </row>
    <row r="1032" spans="1:5">
      <c r="A1032" s="4">
        <v>46010</v>
      </c>
      <c r="B1032" s="1">
        <v>0</v>
      </c>
      <c r="C1032" s="1"/>
      <c r="D1032" s="1"/>
      <c r="E1032" s="1">
        <v>10000</v>
      </c>
    </row>
    <row r="1033" spans="1:5">
      <c r="A1033" s="4">
        <v>46013</v>
      </c>
      <c r="B1033" s="1">
        <v>0</v>
      </c>
      <c r="C1033" s="1"/>
      <c r="D1033" s="1"/>
      <c r="E1033" s="1">
        <v>10000</v>
      </c>
    </row>
    <row r="1034" spans="1:5">
      <c r="A1034" s="4">
        <v>46014</v>
      </c>
      <c r="B1034" s="1">
        <v>0</v>
      </c>
      <c r="C1034" s="1"/>
      <c r="D1034" s="1"/>
      <c r="E1034" s="1">
        <v>10000</v>
      </c>
    </row>
    <row r="1035" spans="1:5">
      <c r="A1035" s="4">
        <v>46015</v>
      </c>
      <c r="B1035" s="1">
        <v>0</v>
      </c>
      <c r="C1035" s="1"/>
      <c r="D1035" s="1"/>
      <c r="E1035" s="1">
        <v>10000</v>
      </c>
    </row>
    <row r="1036" spans="1:5">
      <c r="A1036" s="4">
        <v>46016</v>
      </c>
      <c r="B1036" s="1">
        <v>0</v>
      </c>
      <c r="C1036" s="1"/>
      <c r="D1036" s="1"/>
      <c r="E1036" s="1">
        <v>10000</v>
      </c>
    </row>
    <row r="1037" spans="1:5">
      <c r="A1037" s="4">
        <v>46017</v>
      </c>
      <c r="B1037" s="1">
        <v>0</v>
      </c>
      <c r="C1037" s="1"/>
      <c r="D1037" s="1"/>
      <c r="E1037" s="1">
        <v>10000</v>
      </c>
    </row>
    <row r="1038" spans="1:5">
      <c r="A1038" s="4">
        <v>46020</v>
      </c>
      <c r="B1038" s="1">
        <v>0</v>
      </c>
      <c r="C1038" s="1"/>
      <c r="D1038" s="1"/>
      <c r="E1038" s="1">
        <v>10000</v>
      </c>
    </row>
    <row r="1039" spans="1:5">
      <c r="A1039" s="4">
        <v>46021</v>
      </c>
      <c r="B1039" s="1">
        <v>0</v>
      </c>
      <c r="C1039" s="1"/>
      <c r="D1039" s="1"/>
      <c r="E1039" s="1">
        <v>10000</v>
      </c>
    </row>
    <row r="1040" spans="1:5">
      <c r="A1040" s="4">
        <v>46022</v>
      </c>
      <c r="B1040" s="1">
        <v>0</v>
      </c>
      <c r="C1040" s="1"/>
      <c r="D1040" s="1"/>
      <c r="E1040" s="1">
        <v>10000</v>
      </c>
    </row>
    <row r="1041" spans="1:4">
      <c r="A1041" s="4">
        <v>46023</v>
      </c>
      <c r="B1041" s="1">
        <v>0</v>
      </c>
      <c r="C1041" s="1"/>
      <c r="D1041" s="1"/>
    </row>
    <row r="1042" spans="1:4">
      <c r="A1042" s="4">
        <v>46024</v>
      </c>
      <c r="B1042" s="1">
        <v>0</v>
      </c>
      <c r="C1042" s="1"/>
      <c r="D1042" s="1"/>
    </row>
    <row r="1043" spans="1:4">
      <c r="A1043" s="4">
        <v>46027</v>
      </c>
      <c r="B1043" s="1">
        <v>0</v>
      </c>
      <c r="C1043" s="1"/>
      <c r="D1043" s="1"/>
    </row>
    <row r="1044" spans="1:4">
      <c r="A1044" s="4">
        <v>46028</v>
      </c>
      <c r="B1044" s="1">
        <v>0</v>
      </c>
      <c r="C1044" s="1"/>
      <c r="D1044" s="1"/>
    </row>
    <row r="1045" spans="1:4">
      <c r="A1045" s="4">
        <v>46029</v>
      </c>
      <c r="B1045" s="1">
        <v>0</v>
      </c>
      <c r="C1045" s="1"/>
      <c r="D1045" s="1"/>
    </row>
    <row r="1046" spans="1:4">
      <c r="A1046" s="4">
        <v>46030</v>
      </c>
      <c r="B1046" s="1">
        <v>0</v>
      </c>
      <c r="C1046" s="1"/>
      <c r="D1046" s="1"/>
    </row>
    <row r="1047" spans="1:4">
      <c r="A1047" s="4">
        <v>46031</v>
      </c>
      <c r="B1047" s="1">
        <v>0</v>
      </c>
      <c r="C1047" s="1"/>
      <c r="D1047" s="1"/>
    </row>
    <row r="1048" spans="1:4">
      <c r="A1048" s="4">
        <v>46034</v>
      </c>
      <c r="B1048" s="1">
        <v>0</v>
      </c>
      <c r="C1048" s="1"/>
      <c r="D1048" s="1"/>
    </row>
    <row r="1049" spans="1:4">
      <c r="A1049" s="4">
        <v>46035</v>
      </c>
      <c r="B1049" s="1">
        <v>0</v>
      </c>
      <c r="C1049" s="1"/>
      <c r="D1049" s="1"/>
    </row>
    <row r="1050" spans="1:4">
      <c r="A1050" s="4">
        <v>46036</v>
      </c>
      <c r="B1050" s="1">
        <v>0</v>
      </c>
      <c r="C1050" s="1"/>
      <c r="D1050" s="1"/>
    </row>
    <row r="1051" spans="1:4">
      <c r="A1051" s="4">
        <v>46037</v>
      </c>
      <c r="B1051" s="1">
        <v>0</v>
      </c>
      <c r="C1051" s="1"/>
      <c r="D1051" s="1"/>
    </row>
    <row r="1052" spans="1:4">
      <c r="A1052" s="4">
        <v>46038</v>
      </c>
      <c r="B1052" s="1">
        <v>0</v>
      </c>
      <c r="C1052" s="1"/>
      <c r="D1052" s="1"/>
    </row>
    <row r="1053" spans="1:4">
      <c r="A1053" s="4">
        <v>46041</v>
      </c>
      <c r="B1053" s="1">
        <v>0</v>
      </c>
      <c r="C1053" s="1"/>
      <c r="D1053" s="1"/>
    </row>
    <row r="1054" spans="1:4">
      <c r="A1054" s="4">
        <v>46042</v>
      </c>
      <c r="B1054" s="1">
        <v>0</v>
      </c>
      <c r="C1054" s="1"/>
      <c r="D1054" s="1"/>
    </row>
    <row r="1055" spans="1:4">
      <c r="A1055" s="4">
        <v>46043</v>
      </c>
      <c r="B1055" s="1">
        <v>0</v>
      </c>
      <c r="C1055" s="1"/>
      <c r="D1055" s="1"/>
    </row>
    <row r="1056" spans="1:4">
      <c r="A1056" s="4">
        <v>46044</v>
      </c>
      <c r="B1056" s="1">
        <v>0</v>
      </c>
      <c r="C1056" s="1"/>
      <c r="D1056" s="1"/>
    </row>
    <row r="1057" spans="1:4">
      <c r="A1057" s="4">
        <v>46045</v>
      </c>
      <c r="B1057" s="1">
        <v>0</v>
      </c>
      <c r="C1057" s="1"/>
      <c r="D1057" s="1"/>
    </row>
    <row r="1058" spans="1:4">
      <c r="A1058" s="4">
        <v>46048</v>
      </c>
      <c r="B1058" s="1">
        <v>0</v>
      </c>
      <c r="C1058" s="1"/>
      <c r="D1058" s="1"/>
    </row>
    <row r="1059" spans="1:4">
      <c r="A1059" s="4">
        <v>46049</v>
      </c>
      <c r="B1059" s="1">
        <v>0</v>
      </c>
      <c r="C1059" s="1"/>
      <c r="D1059" s="1"/>
    </row>
    <row r="1060" spans="1:4">
      <c r="A1060" s="4">
        <v>46050</v>
      </c>
      <c r="B1060" s="1">
        <v>0</v>
      </c>
      <c r="C1060" s="1"/>
      <c r="D1060" s="1"/>
    </row>
    <row r="1061" spans="1:4">
      <c r="A1061" s="4">
        <v>46051</v>
      </c>
      <c r="B1061" s="1">
        <v>0</v>
      </c>
      <c r="C1061" s="1"/>
      <c r="D1061" s="1"/>
    </row>
    <row r="1062" spans="1:4">
      <c r="A1062" s="4">
        <v>46052</v>
      </c>
      <c r="B1062" s="1">
        <v>0</v>
      </c>
      <c r="C1062" s="1"/>
      <c r="D1062" s="1"/>
    </row>
    <row r="1063" spans="1:4">
      <c r="A1063" s="4">
        <v>46055</v>
      </c>
      <c r="B1063" s="1">
        <v>0</v>
      </c>
      <c r="C1063" s="1"/>
      <c r="D1063" s="1"/>
    </row>
    <row r="1064" spans="1:4">
      <c r="A1064" s="4">
        <v>46056</v>
      </c>
      <c r="B1064" s="1">
        <v>0</v>
      </c>
      <c r="C1064" s="1"/>
      <c r="D1064" s="1"/>
    </row>
    <row r="1065" spans="1:4">
      <c r="A1065" s="4">
        <v>46057</v>
      </c>
      <c r="B1065" s="1">
        <v>0</v>
      </c>
      <c r="C1065" s="1"/>
      <c r="D1065" s="1"/>
    </row>
    <row r="1066" spans="1:4">
      <c r="A1066" s="4">
        <v>46058</v>
      </c>
      <c r="B1066" s="1">
        <v>0</v>
      </c>
      <c r="C1066" s="1"/>
      <c r="D1066" s="1"/>
    </row>
    <row r="1067" spans="1:4">
      <c r="A1067" s="4">
        <v>46059</v>
      </c>
      <c r="B1067" s="1">
        <v>0</v>
      </c>
      <c r="C1067" s="1"/>
      <c r="D1067" s="1"/>
    </row>
    <row r="1068" spans="1:4">
      <c r="A1068" s="4">
        <v>46062</v>
      </c>
      <c r="B1068" s="1">
        <v>0</v>
      </c>
      <c r="C1068" s="1"/>
      <c r="D1068" s="1"/>
    </row>
    <row r="1069" spans="1:4">
      <c r="A1069" s="4">
        <v>46063</v>
      </c>
      <c r="B1069" s="1">
        <v>0</v>
      </c>
      <c r="C1069" s="1"/>
      <c r="D1069" s="1"/>
    </row>
    <row r="1070" spans="1:4">
      <c r="A1070" s="4">
        <v>46064</v>
      </c>
      <c r="B1070" s="1">
        <v>0</v>
      </c>
      <c r="C1070" s="1"/>
      <c r="D1070" s="1"/>
    </row>
    <row r="1071" spans="1:4">
      <c r="A1071" s="4">
        <v>46065</v>
      </c>
      <c r="B1071" s="1">
        <v>0</v>
      </c>
      <c r="C1071" s="1"/>
      <c r="D1071" s="1"/>
    </row>
    <row r="1072" spans="1:4">
      <c r="A1072" s="4">
        <v>46066</v>
      </c>
      <c r="B1072" s="1">
        <v>0</v>
      </c>
      <c r="C1072" s="1"/>
      <c r="D1072" s="1"/>
    </row>
    <row r="1073" spans="1:4">
      <c r="A1073" s="4">
        <v>46069</v>
      </c>
      <c r="B1073" s="1">
        <v>0</v>
      </c>
      <c r="C1073" s="1"/>
      <c r="D1073" s="1"/>
    </row>
    <row r="1074" spans="1:4">
      <c r="A1074" s="4">
        <v>46070</v>
      </c>
      <c r="B1074" s="1">
        <v>0</v>
      </c>
      <c r="C1074" s="1"/>
      <c r="D1074" s="1"/>
    </row>
    <row r="1075" spans="1:4">
      <c r="A1075" s="4">
        <v>46071</v>
      </c>
      <c r="B1075" s="1">
        <v>0</v>
      </c>
      <c r="C1075" s="1"/>
      <c r="D1075" s="1"/>
    </row>
    <row r="1076" spans="1:4">
      <c r="A1076" s="4">
        <v>46072</v>
      </c>
      <c r="B1076" s="1">
        <v>0</v>
      </c>
      <c r="C1076" s="1"/>
      <c r="D1076" s="1"/>
    </row>
    <row r="1077" spans="1:4">
      <c r="A1077" s="4">
        <v>46073</v>
      </c>
      <c r="B1077" s="1">
        <v>0</v>
      </c>
      <c r="C1077" s="1"/>
      <c r="D1077" s="1"/>
    </row>
    <row r="1078" spans="1:4">
      <c r="A1078" s="4">
        <v>46076</v>
      </c>
      <c r="B1078" s="1">
        <v>0</v>
      </c>
      <c r="C1078" s="1"/>
      <c r="D1078" s="1"/>
    </row>
    <row r="1079" spans="1:4">
      <c r="A1079" s="4">
        <v>46077</v>
      </c>
      <c r="B1079" s="1">
        <v>0</v>
      </c>
      <c r="C1079" s="1"/>
      <c r="D1079" s="1"/>
    </row>
    <row r="1080" spans="1:4">
      <c r="A1080" s="4">
        <v>46078</v>
      </c>
      <c r="B1080" s="1">
        <v>0</v>
      </c>
      <c r="C1080" s="1"/>
      <c r="D1080" s="1"/>
    </row>
    <row r="1081" spans="1:4">
      <c r="A1081" s="4">
        <v>46079</v>
      </c>
      <c r="B1081" s="1">
        <v>0</v>
      </c>
      <c r="C1081" s="1"/>
      <c r="D1081" s="1"/>
    </row>
    <row r="1082" spans="1:4">
      <c r="A1082" s="4">
        <v>46080</v>
      </c>
      <c r="B1082" s="1">
        <v>0</v>
      </c>
      <c r="C1082" s="1"/>
      <c r="D1082" s="1"/>
    </row>
    <row r="1083" spans="1:4">
      <c r="A1083" s="4">
        <v>46083</v>
      </c>
      <c r="B1083" s="1">
        <v>0</v>
      </c>
      <c r="C1083" s="1"/>
      <c r="D1083" s="1"/>
    </row>
    <row r="1084" spans="1:4">
      <c r="A1084" s="4">
        <v>46084</v>
      </c>
      <c r="B1084" s="1">
        <v>0</v>
      </c>
      <c r="C1084" s="1"/>
      <c r="D1084" s="1"/>
    </row>
    <row r="1085" spans="1:4">
      <c r="A1085" s="4">
        <v>46085</v>
      </c>
      <c r="B1085" s="1">
        <v>0</v>
      </c>
      <c r="C1085" s="1"/>
      <c r="D1085" s="1"/>
    </row>
    <row r="1086" spans="1:4">
      <c r="A1086" s="4">
        <v>46086</v>
      </c>
      <c r="B1086" s="1">
        <v>0</v>
      </c>
      <c r="C1086" s="1"/>
      <c r="D1086" s="1"/>
    </row>
    <row r="1087" spans="1:4">
      <c r="A1087" s="4">
        <v>46087</v>
      </c>
      <c r="B1087" s="1">
        <v>0</v>
      </c>
      <c r="C1087" s="1"/>
      <c r="D1087" s="1"/>
    </row>
    <row r="1088" spans="1:4">
      <c r="A1088" s="4">
        <v>46090</v>
      </c>
      <c r="B1088" s="1">
        <v>0</v>
      </c>
      <c r="C1088" s="1"/>
      <c r="D1088" s="1"/>
    </row>
    <row r="1089" spans="1:4">
      <c r="A1089" s="4">
        <v>46091</v>
      </c>
      <c r="B1089" s="1">
        <v>0</v>
      </c>
      <c r="C1089" s="1"/>
      <c r="D1089" s="1"/>
    </row>
    <row r="1090" spans="1:4">
      <c r="A1090" s="4">
        <v>46092</v>
      </c>
      <c r="B1090" s="1">
        <v>0</v>
      </c>
      <c r="C1090" s="1"/>
      <c r="D1090" s="1"/>
    </row>
    <row r="1091" spans="1:4">
      <c r="A1091" s="4">
        <v>46093</v>
      </c>
      <c r="B1091" s="1">
        <v>0</v>
      </c>
      <c r="C1091" s="1"/>
      <c r="D1091" s="1"/>
    </row>
    <row r="1092" spans="1:4">
      <c r="A1092" s="4">
        <v>46094</v>
      </c>
      <c r="B1092" s="1">
        <v>0</v>
      </c>
      <c r="C1092" s="1"/>
      <c r="D1092" s="1"/>
    </row>
    <row r="1093" spans="1:4">
      <c r="A1093" s="4">
        <v>46097</v>
      </c>
      <c r="B1093" s="1">
        <v>0</v>
      </c>
      <c r="C1093" s="1"/>
      <c r="D1093" s="1"/>
    </row>
    <row r="1094" spans="1:4">
      <c r="A1094" s="4">
        <v>46098</v>
      </c>
      <c r="B1094" s="1">
        <v>0</v>
      </c>
      <c r="C1094" s="1"/>
      <c r="D1094" s="1"/>
    </row>
    <row r="1095" spans="1:4">
      <c r="A1095" s="4">
        <v>46099</v>
      </c>
      <c r="B1095" s="1">
        <v>0</v>
      </c>
      <c r="C1095" s="1"/>
      <c r="D1095" s="1"/>
    </row>
    <row r="1096" spans="1:4">
      <c r="A1096" s="4">
        <v>46100</v>
      </c>
      <c r="B1096" s="1">
        <v>0</v>
      </c>
      <c r="C1096" s="1"/>
      <c r="D1096" s="1"/>
    </row>
    <row r="1097" spans="1:4">
      <c r="A1097" s="4">
        <v>46101</v>
      </c>
      <c r="B1097" s="1">
        <v>0</v>
      </c>
      <c r="C1097" s="1"/>
      <c r="D1097" s="1"/>
    </row>
    <row r="1098" spans="1:4">
      <c r="A1098" s="4">
        <v>46104</v>
      </c>
      <c r="B1098" s="1">
        <v>0</v>
      </c>
      <c r="C1098" s="1"/>
      <c r="D1098" s="1"/>
    </row>
    <row r="1099" spans="1:4">
      <c r="A1099" s="4">
        <v>46105</v>
      </c>
      <c r="B1099" s="1">
        <v>0</v>
      </c>
      <c r="C1099" s="1"/>
      <c r="D1099" s="1"/>
    </row>
    <row r="1100" spans="1:4">
      <c r="A1100" s="4">
        <v>46106</v>
      </c>
      <c r="B1100" s="1">
        <v>0</v>
      </c>
      <c r="C1100" s="1"/>
      <c r="D1100" s="1"/>
    </row>
    <row r="1101" spans="1:4">
      <c r="A1101" s="4">
        <v>46107</v>
      </c>
      <c r="B1101" s="1">
        <v>0</v>
      </c>
      <c r="C1101" s="1"/>
      <c r="D1101" s="1"/>
    </row>
    <row r="1102" spans="1:4">
      <c r="A1102" s="4">
        <v>46108</v>
      </c>
      <c r="B1102" s="1">
        <v>0</v>
      </c>
      <c r="C1102" s="1"/>
      <c r="D1102" s="1"/>
    </row>
    <row r="1103" spans="1:4">
      <c r="A1103" s="4">
        <v>46111</v>
      </c>
      <c r="B1103" s="1">
        <v>0</v>
      </c>
      <c r="C1103" s="1"/>
      <c r="D1103" s="1"/>
    </row>
    <row r="1104" spans="1:4">
      <c r="A1104" s="4">
        <v>46112</v>
      </c>
      <c r="B1104" s="1">
        <v>0</v>
      </c>
      <c r="C1104" s="1"/>
      <c r="D1104" s="1"/>
    </row>
    <row r="1105" spans="1:4">
      <c r="A1105" s="4">
        <v>46113</v>
      </c>
      <c r="B1105" s="1">
        <v>0</v>
      </c>
      <c r="C1105" s="1"/>
      <c r="D1105" s="1"/>
    </row>
    <row r="1106" spans="1:4">
      <c r="A1106" s="4">
        <v>46114</v>
      </c>
      <c r="B1106" s="1">
        <v>0</v>
      </c>
      <c r="C1106" s="1"/>
      <c r="D1106" s="1"/>
    </row>
    <row r="1107" spans="1:4">
      <c r="A1107" s="4">
        <v>46115</v>
      </c>
      <c r="B1107" s="1">
        <v>0</v>
      </c>
      <c r="C1107" s="1"/>
      <c r="D1107" s="1"/>
    </row>
    <row r="1108" spans="1:4">
      <c r="A1108" s="4">
        <v>46118</v>
      </c>
      <c r="B1108" s="1">
        <v>0</v>
      </c>
      <c r="C1108" s="1"/>
      <c r="D1108" s="1"/>
    </row>
    <row r="1109" spans="1:4">
      <c r="A1109" s="4">
        <v>46119</v>
      </c>
      <c r="B1109" s="1">
        <v>0</v>
      </c>
      <c r="C1109" s="1"/>
      <c r="D1109" s="1"/>
    </row>
    <row r="1110" spans="1:4">
      <c r="A1110" s="4">
        <v>46120</v>
      </c>
      <c r="B1110" s="1">
        <v>0</v>
      </c>
      <c r="C1110" s="1"/>
      <c r="D1110" s="1"/>
    </row>
    <row r="1111" spans="1:4">
      <c r="A1111" s="4">
        <v>46121</v>
      </c>
      <c r="B1111" s="1">
        <v>0</v>
      </c>
      <c r="C1111" s="1"/>
      <c r="D1111" s="1"/>
    </row>
    <row r="1112" spans="1:4">
      <c r="A1112" s="4">
        <v>46122</v>
      </c>
      <c r="B1112" s="1">
        <v>0</v>
      </c>
      <c r="C1112" s="1"/>
      <c r="D1112" s="1"/>
    </row>
    <row r="1113" spans="1:4">
      <c r="A1113" s="4">
        <v>46125</v>
      </c>
      <c r="B1113" s="1">
        <v>0</v>
      </c>
      <c r="C1113" s="1"/>
      <c r="D1113" s="1"/>
    </row>
    <row r="1114" spans="1:4">
      <c r="A1114" s="4">
        <v>46126</v>
      </c>
      <c r="B1114" s="1">
        <v>0</v>
      </c>
      <c r="C1114" s="1"/>
      <c r="D1114" s="1"/>
    </row>
    <row r="1115" spans="1:4">
      <c r="A1115" s="4">
        <v>46127</v>
      </c>
      <c r="B1115" s="1">
        <v>0</v>
      </c>
      <c r="C1115" s="1"/>
      <c r="D1115" s="1"/>
    </row>
    <row r="1116" spans="1:4">
      <c r="A1116" s="4">
        <v>46128</v>
      </c>
      <c r="B1116" s="1">
        <v>0</v>
      </c>
      <c r="C1116" s="1"/>
      <c r="D1116" s="1"/>
    </row>
    <row r="1117" spans="1:4">
      <c r="A1117" s="4">
        <v>46129</v>
      </c>
      <c r="B1117" s="1">
        <v>0</v>
      </c>
      <c r="C1117" s="1"/>
      <c r="D1117" s="1"/>
    </row>
    <row r="1118" spans="1:4">
      <c r="A1118" s="4">
        <v>46132</v>
      </c>
      <c r="B1118" s="1">
        <v>0</v>
      </c>
      <c r="C1118" s="1"/>
      <c r="D1118" s="1"/>
    </row>
    <row r="1119" spans="1:4">
      <c r="A1119" s="4">
        <v>46133</v>
      </c>
      <c r="B1119" s="1">
        <v>0</v>
      </c>
      <c r="C1119" s="1"/>
      <c r="D1119" s="1"/>
    </row>
    <row r="1120" spans="1:4">
      <c r="A1120" s="4">
        <v>46134</v>
      </c>
      <c r="B1120" s="1">
        <v>0</v>
      </c>
      <c r="C1120" s="1"/>
      <c r="D1120" s="1"/>
    </row>
    <row r="1121" spans="1:4">
      <c r="A1121" s="4">
        <v>46135</v>
      </c>
      <c r="B1121" s="1">
        <v>0</v>
      </c>
      <c r="C1121" s="1"/>
      <c r="D1121" s="1"/>
    </row>
    <row r="1122" spans="1:4">
      <c r="A1122" s="4">
        <v>46136</v>
      </c>
      <c r="B1122" s="1">
        <v>0</v>
      </c>
      <c r="C1122" s="1"/>
      <c r="D1122" s="1"/>
    </row>
    <row r="1123" spans="1:4">
      <c r="A1123" s="4">
        <v>46139</v>
      </c>
      <c r="B1123" s="1">
        <v>0</v>
      </c>
      <c r="C1123" s="1"/>
      <c r="D1123" s="1"/>
    </row>
    <row r="1124" spans="1:4">
      <c r="A1124" s="4">
        <v>46140</v>
      </c>
      <c r="B1124" s="1">
        <v>0</v>
      </c>
      <c r="C1124" s="1"/>
      <c r="D1124" s="1"/>
    </row>
    <row r="1125" spans="1:4">
      <c r="A1125" s="4">
        <v>46141</v>
      </c>
      <c r="B1125" s="1">
        <v>0</v>
      </c>
      <c r="C1125" s="1"/>
      <c r="D1125" s="1"/>
    </row>
    <row r="1126" spans="1:4">
      <c r="A1126" s="4">
        <v>46142</v>
      </c>
      <c r="B1126" s="1">
        <v>0</v>
      </c>
      <c r="C1126" s="1"/>
      <c r="D1126" s="1"/>
    </row>
    <row r="1127" spans="1:4">
      <c r="A1127" s="4">
        <v>46143</v>
      </c>
      <c r="B1127" s="1">
        <v>0</v>
      </c>
      <c r="C1127" s="1"/>
      <c r="D1127" s="1"/>
    </row>
    <row r="1128" spans="1:4">
      <c r="A1128" s="4">
        <v>46146</v>
      </c>
      <c r="B1128" s="1">
        <v>0</v>
      </c>
      <c r="C1128" s="1"/>
      <c r="D1128" s="1"/>
    </row>
    <row r="1129" spans="1:4">
      <c r="A1129" s="4">
        <v>46147</v>
      </c>
      <c r="B1129" s="1">
        <v>0</v>
      </c>
      <c r="C1129" s="1"/>
      <c r="D1129" s="1"/>
    </row>
    <row r="1130" spans="1:4">
      <c r="A1130" s="4">
        <v>46148</v>
      </c>
      <c r="B1130" s="1">
        <v>0</v>
      </c>
      <c r="C1130" s="1"/>
      <c r="D1130" s="1"/>
    </row>
    <row r="1131" spans="1:4">
      <c r="A1131" s="4">
        <v>46149</v>
      </c>
      <c r="B1131" s="1">
        <v>0</v>
      </c>
      <c r="C1131" s="1"/>
      <c r="D1131" s="1"/>
    </row>
    <row r="1132" spans="1:4">
      <c r="A1132" s="4">
        <v>46150</v>
      </c>
      <c r="B1132" s="1">
        <v>0</v>
      </c>
      <c r="C1132" s="1"/>
      <c r="D1132" s="1"/>
    </row>
    <row r="1133" spans="1:4">
      <c r="A1133" s="4">
        <v>46153</v>
      </c>
      <c r="B1133" s="1">
        <v>0</v>
      </c>
      <c r="C1133" s="1"/>
      <c r="D1133" s="1"/>
    </row>
    <row r="1134" spans="1:4">
      <c r="A1134" s="4">
        <v>46154</v>
      </c>
      <c r="B1134" s="1">
        <v>0</v>
      </c>
      <c r="C1134" s="1"/>
      <c r="D1134" s="1"/>
    </row>
    <row r="1135" spans="1:4">
      <c r="A1135" s="4">
        <v>46155</v>
      </c>
      <c r="B1135" s="1">
        <v>0</v>
      </c>
      <c r="C1135" s="1"/>
      <c r="D1135" s="1"/>
    </row>
    <row r="1136" spans="1:4">
      <c r="A1136" s="4">
        <v>46156</v>
      </c>
      <c r="B1136" s="1">
        <v>0</v>
      </c>
      <c r="C1136" s="1"/>
      <c r="D1136" s="1"/>
    </row>
    <row r="1137" spans="1:4">
      <c r="A1137" s="4">
        <v>46157</v>
      </c>
      <c r="B1137" s="1">
        <v>0</v>
      </c>
      <c r="C1137" s="1"/>
      <c r="D1137" s="1"/>
    </row>
    <row r="1138" spans="1:4">
      <c r="A1138" s="4">
        <v>46160</v>
      </c>
      <c r="B1138" s="1">
        <v>0</v>
      </c>
      <c r="C1138" s="1"/>
      <c r="D1138" s="1"/>
    </row>
    <row r="1139" spans="1:4">
      <c r="A1139" s="4">
        <v>46161</v>
      </c>
      <c r="B1139" s="1">
        <v>0</v>
      </c>
      <c r="C1139" s="1"/>
      <c r="D1139" s="1"/>
    </row>
    <row r="1140" spans="1:4">
      <c r="A1140" s="4">
        <v>46162</v>
      </c>
      <c r="B1140" s="1">
        <v>0</v>
      </c>
      <c r="C1140" s="1"/>
      <c r="D1140" s="1"/>
    </row>
    <row r="1141" spans="1:4">
      <c r="A1141" s="4">
        <v>46163</v>
      </c>
      <c r="B1141" s="1">
        <v>0</v>
      </c>
      <c r="C1141" s="1"/>
      <c r="D1141" s="1"/>
    </row>
    <row r="1142" spans="1:4">
      <c r="A1142" s="4">
        <v>46164</v>
      </c>
      <c r="B1142" s="1">
        <v>0</v>
      </c>
      <c r="C1142" s="1"/>
      <c r="D1142" s="1"/>
    </row>
    <row r="1143" spans="1:4">
      <c r="A1143" s="4">
        <v>46167</v>
      </c>
      <c r="B1143" s="1">
        <v>0</v>
      </c>
      <c r="C1143" s="1"/>
      <c r="D1143" s="1"/>
    </row>
    <row r="1144" spans="1:4">
      <c r="A1144" s="4">
        <v>46168</v>
      </c>
      <c r="B1144" s="1">
        <v>0</v>
      </c>
      <c r="C1144" s="1"/>
      <c r="D1144" s="1"/>
    </row>
    <row r="1145" spans="1:4">
      <c r="A1145" s="4">
        <v>46169</v>
      </c>
      <c r="B1145" s="1">
        <v>0</v>
      </c>
      <c r="C1145" s="1"/>
      <c r="D1145" s="1"/>
    </row>
    <row r="1146" spans="1:4">
      <c r="A1146" s="4">
        <v>46170</v>
      </c>
      <c r="B1146" s="1">
        <v>0</v>
      </c>
      <c r="C1146" s="1"/>
      <c r="D1146" s="1"/>
    </row>
    <row r="1147" spans="1:4">
      <c r="A1147" s="4">
        <v>46171</v>
      </c>
      <c r="B1147" s="1">
        <v>0</v>
      </c>
      <c r="C1147" s="1"/>
      <c r="D1147" s="1"/>
    </row>
    <row r="1148" spans="1:4">
      <c r="A1148" s="4">
        <v>46174</v>
      </c>
      <c r="B1148" s="1">
        <v>0</v>
      </c>
      <c r="C1148" s="1"/>
      <c r="D1148" s="1"/>
    </row>
    <row r="1149" spans="1:4">
      <c r="A1149" s="4">
        <v>46175</v>
      </c>
      <c r="B1149" s="1">
        <v>0</v>
      </c>
      <c r="C1149" s="1"/>
      <c r="D1149" s="1"/>
    </row>
    <row r="1150" spans="1:4">
      <c r="A1150" s="4">
        <v>46176</v>
      </c>
      <c r="B1150" s="1">
        <v>0</v>
      </c>
      <c r="C1150" s="1"/>
      <c r="D1150" s="1"/>
    </row>
    <row r="1151" spans="1:4">
      <c r="A1151" s="4">
        <v>46177</v>
      </c>
      <c r="B1151" s="1">
        <v>0</v>
      </c>
      <c r="C1151" s="1"/>
      <c r="D1151" s="1"/>
    </row>
    <row r="1152" spans="1:4">
      <c r="A1152" s="4">
        <v>46178</v>
      </c>
      <c r="B1152" s="1">
        <v>0</v>
      </c>
      <c r="C1152" s="1"/>
      <c r="D1152" s="1"/>
    </row>
    <row r="1153" spans="1:4">
      <c r="A1153" s="4">
        <v>46181</v>
      </c>
      <c r="B1153" s="1">
        <v>0</v>
      </c>
      <c r="C1153" s="1"/>
      <c r="D1153" s="1"/>
    </row>
    <row r="1154" spans="1:4">
      <c r="A1154" s="4">
        <v>46182</v>
      </c>
      <c r="B1154" s="1">
        <v>0</v>
      </c>
      <c r="C1154" s="1"/>
      <c r="D1154" s="1"/>
    </row>
    <row r="1155" spans="1:4">
      <c r="A1155" s="4">
        <v>46183</v>
      </c>
      <c r="B1155" s="1">
        <v>0</v>
      </c>
      <c r="C1155" s="1"/>
      <c r="D1155" s="1"/>
    </row>
    <row r="1156" spans="1:4">
      <c r="A1156" s="4">
        <v>46184</v>
      </c>
      <c r="B1156" s="1">
        <v>0</v>
      </c>
      <c r="C1156" s="1"/>
      <c r="D1156" s="1"/>
    </row>
    <row r="1157" spans="1:4">
      <c r="A1157" s="4">
        <v>46185</v>
      </c>
      <c r="B1157" s="1">
        <v>0</v>
      </c>
      <c r="C1157" s="1"/>
      <c r="D1157" s="1"/>
    </row>
    <row r="1158" spans="1:4">
      <c r="A1158" s="4">
        <v>46188</v>
      </c>
      <c r="B1158" s="1">
        <v>0</v>
      </c>
      <c r="C1158" s="1"/>
      <c r="D1158" s="1"/>
    </row>
    <row r="1159" spans="1:4">
      <c r="A1159" s="4">
        <v>46189</v>
      </c>
      <c r="B1159" s="1">
        <v>0</v>
      </c>
      <c r="C1159" s="1"/>
      <c r="D1159" s="1"/>
    </row>
    <row r="1160" spans="1:4">
      <c r="A1160" s="4">
        <v>46190</v>
      </c>
      <c r="B1160" s="1">
        <v>0</v>
      </c>
      <c r="C1160" s="1"/>
      <c r="D1160" s="1"/>
    </row>
    <row r="1161" spans="1:4">
      <c r="A1161" s="4">
        <v>46191</v>
      </c>
      <c r="B1161" s="1">
        <v>0</v>
      </c>
      <c r="C1161" s="1"/>
      <c r="D1161" s="1"/>
    </row>
    <row r="1162" spans="1:4">
      <c r="A1162" s="4">
        <v>46192</v>
      </c>
      <c r="B1162" s="1">
        <v>0</v>
      </c>
      <c r="C1162" s="1"/>
      <c r="D1162" s="1"/>
    </row>
    <row r="1163" spans="1:4">
      <c r="A1163" s="4">
        <v>46195</v>
      </c>
      <c r="B1163" s="1">
        <v>0</v>
      </c>
      <c r="C1163" s="1"/>
      <c r="D1163" s="1"/>
    </row>
    <row r="1164" spans="1:4">
      <c r="A1164" s="4">
        <v>46196</v>
      </c>
      <c r="B1164" s="1">
        <v>0</v>
      </c>
      <c r="C1164" s="1"/>
      <c r="D1164" s="1"/>
    </row>
    <row r="1165" spans="1:4">
      <c r="A1165" s="4">
        <v>46197</v>
      </c>
      <c r="B1165" s="1">
        <v>0</v>
      </c>
      <c r="C1165" s="1"/>
      <c r="D1165" s="1"/>
    </row>
    <row r="1166" spans="1:4">
      <c r="A1166" s="4">
        <v>46198</v>
      </c>
      <c r="B1166" s="1">
        <v>0</v>
      </c>
      <c r="C1166" s="1"/>
      <c r="D1166" s="1"/>
    </row>
    <row r="1167" spans="1:4">
      <c r="A1167" s="4">
        <v>46199</v>
      </c>
      <c r="B1167" s="1">
        <v>0</v>
      </c>
      <c r="C1167" s="1"/>
      <c r="D1167" s="1"/>
    </row>
    <row r="1168" spans="1:4">
      <c r="A1168" s="4">
        <v>46202</v>
      </c>
      <c r="B1168" s="1">
        <v>0</v>
      </c>
      <c r="C1168" s="1"/>
      <c r="D1168" s="1"/>
    </row>
    <row r="1169" spans="1:4">
      <c r="A1169" s="4">
        <v>46203</v>
      </c>
      <c r="B1169" s="1">
        <v>0</v>
      </c>
      <c r="C1169" s="1"/>
      <c r="D1169" s="1"/>
    </row>
    <row r="1170" spans="1:4">
      <c r="A1170" s="4">
        <v>46204</v>
      </c>
      <c r="B1170" s="1">
        <v>0</v>
      </c>
      <c r="C1170" s="1"/>
      <c r="D1170" s="1"/>
    </row>
    <row r="1171" spans="1:4">
      <c r="A1171" s="4">
        <v>46205</v>
      </c>
      <c r="B1171" s="1">
        <v>0</v>
      </c>
      <c r="C1171" s="1"/>
      <c r="D1171" s="1"/>
    </row>
    <row r="1172" spans="1:4">
      <c r="A1172" s="4">
        <v>46206</v>
      </c>
      <c r="B1172" s="1">
        <v>0</v>
      </c>
      <c r="C1172" s="1"/>
      <c r="D1172" s="1"/>
    </row>
    <row r="1173" spans="1:4">
      <c r="A1173" s="4">
        <v>46209</v>
      </c>
      <c r="B1173" s="1">
        <v>0</v>
      </c>
      <c r="C1173" s="1"/>
      <c r="D1173" s="1"/>
    </row>
    <row r="1174" spans="1:4">
      <c r="A1174" s="4">
        <v>46210</v>
      </c>
      <c r="B1174" s="1">
        <v>0</v>
      </c>
      <c r="C1174" s="1"/>
      <c r="D1174" s="1"/>
    </row>
    <row r="1175" spans="1:4">
      <c r="A1175" s="4">
        <v>46211</v>
      </c>
      <c r="B1175" s="1">
        <v>0</v>
      </c>
      <c r="C1175" s="1"/>
      <c r="D1175" s="1"/>
    </row>
    <row r="1176" spans="1:4">
      <c r="A1176" s="4">
        <v>46212</v>
      </c>
      <c r="B1176" s="1">
        <v>0</v>
      </c>
      <c r="C1176" s="1"/>
      <c r="D1176" s="1"/>
    </row>
    <row r="1177" spans="1:4">
      <c r="A1177" s="4">
        <v>46213</v>
      </c>
      <c r="B1177" s="1">
        <v>0</v>
      </c>
      <c r="C1177" s="1"/>
      <c r="D1177" s="1"/>
    </row>
    <row r="1178" spans="1:4">
      <c r="A1178" s="4">
        <v>46216</v>
      </c>
      <c r="B1178" s="1">
        <v>0</v>
      </c>
      <c r="C1178" s="1"/>
      <c r="D1178" s="1"/>
    </row>
    <row r="1179" spans="1:4">
      <c r="A1179" s="4">
        <v>46217</v>
      </c>
      <c r="B1179" s="1">
        <v>0</v>
      </c>
      <c r="C1179" s="1"/>
      <c r="D1179" s="1"/>
    </row>
    <row r="1180" spans="1:4">
      <c r="A1180" s="4">
        <v>46218</v>
      </c>
      <c r="B1180" s="1">
        <v>0</v>
      </c>
      <c r="C1180" s="1"/>
      <c r="D1180" s="1"/>
    </row>
    <row r="1181" spans="1:4">
      <c r="A1181" s="4">
        <v>46219</v>
      </c>
      <c r="B1181" s="1">
        <v>0</v>
      </c>
      <c r="C1181" s="1"/>
      <c r="D1181" s="1"/>
    </row>
    <row r="1182" spans="1:4">
      <c r="A1182" s="4">
        <v>46220</v>
      </c>
      <c r="B1182" s="1">
        <v>0</v>
      </c>
      <c r="C1182" s="1"/>
      <c r="D1182" s="1"/>
    </row>
    <row r="1183" spans="1:4">
      <c r="A1183" s="4">
        <v>46223</v>
      </c>
      <c r="B1183" s="1">
        <v>0</v>
      </c>
      <c r="C1183" s="1"/>
      <c r="D1183" s="1"/>
    </row>
    <row r="1184" spans="1:4">
      <c r="A1184" s="4">
        <v>46224</v>
      </c>
      <c r="B1184" s="1">
        <v>0</v>
      </c>
      <c r="C1184" s="1"/>
      <c r="D1184" s="1"/>
    </row>
    <row r="1185" spans="1:4">
      <c r="A1185" s="4">
        <v>46225</v>
      </c>
      <c r="B1185" s="1">
        <v>0</v>
      </c>
      <c r="C1185" s="1"/>
      <c r="D1185" s="1"/>
    </row>
    <row r="1186" spans="1:4">
      <c r="A1186" s="4">
        <v>46226</v>
      </c>
      <c r="B1186" s="1">
        <v>0</v>
      </c>
      <c r="C1186" s="1"/>
      <c r="D1186" s="1"/>
    </row>
    <row r="1187" spans="1:4">
      <c r="A1187" s="4">
        <v>46227</v>
      </c>
      <c r="B1187" s="1">
        <v>0</v>
      </c>
      <c r="C1187" s="1"/>
      <c r="D1187" s="1"/>
    </row>
    <row r="1188" spans="1:4">
      <c r="A1188" s="4">
        <v>46230</v>
      </c>
      <c r="B1188" s="1">
        <v>0</v>
      </c>
      <c r="C1188" s="1"/>
      <c r="D1188" s="1"/>
    </row>
    <row r="1189" spans="1:4">
      <c r="A1189" s="4">
        <v>46231</v>
      </c>
      <c r="B1189" s="1">
        <v>0</v>
      </c>
      <c r="C1189" s="1"/>
      <c r="D1189" s="1"/>
    </row>
    <row r="1190" spans="1:4">
      <c r="A1190" s="4">
        <v>46232</v>
      </c>
      <c r="B1190" s="1">
        <v>0</v>
      </c>
      <c r="C1190" s="1"/>
      <c r="D1190" s="1"/>
    </row>
    <row r="1191" spans="1:4">
      <c r="A1191" s="4">
        <v>46233</v>
      </c>
      <c r="B1191" s="1">
        <v>0</v>
      </c>
      <c r="C1191" s="1"/>
      <c r="D1191" s="1"/>
    </row>
    <row r="1192" spans="1:4">
      <c r="A1192" s="4">
        <v>46234</v>
      </c>
      <c r="B1192" s="1">
        <v>0</v>
      </c>
      <c r="C1192" s="1"/>
      <c r="D1192" s="1"/>
    </row>
    <row r="1193" spans="1:4">
      <c r="A1193" s="4">
        <v>46237</v>
      </c>
      <c r="B1193" s="1">
        <v>0</v>
      </c>
      <c r="C1193" s="1"/>
      <c r="D1193" s="1"/>
    </row>
    <row r="1194" spans="1:4">
      <c r="A1194" s="4">
        <v>46238</v>
      </c>
      <c r="B1194" s="1">
        <v>0</v>
      </c>
      <c r="C1194" s="1"/>
      <c r="D1194" s="1"/>
    </row>
    <row r="1195" spans="1:4">
      <c r="A1195" s="4">
        <v>46239</v>
      </c>
      <c r="B1195" s="1">
        <v>0</v>
      </c>
      <c r="C1195" s="1"/>
      <c r="D1195" s="1"/>
    </row>
    <row r="1196" spans="1:4">
      <c r="A1196" s="4">
        <v>46240</v>
      </c>
      <c r="B1196" s="1">
        <v>0</v>
      </c>
      <c r="C1196" s="1"/>
      <c r="D1196" s="1"/>
    </row>
    <row r="1197" spans="1:4">
      <c r="A1197" s="4">
        <v>46241</v>
      </c>
      <c r="B1197" s="1">
        <v>0</v>
      </c>
      <c r="C1197" s="1"/>
      <c r="D1197" s="1"/>
    </row>
    <row r="1198" spans="1:4">
      <c r="A1198" s="4">
        <v>46244</v>
      </c>
      <c r="B1198" s="1">
        <v>0</v>
      </c>
      <c r="C1198" s="1"/>
      <c r="D1198" s="1"/>
    </row>
    <row r="1199" spans="1:4">
      <c r="A1199" s="4">
        <v>46245</v>
      </c>
      <c r="B1199" s="1">
        <v>0</v>
      </c>
      <c r="C1199" s="1"/>
      <c r="D1199" s="1"/>
    </row>
    <row r="1200" spans="1:4">
      <c r="A1200" s="4">
        <v>46246</v>
      </c>
      <c r="B1200" s="1">
        <v>0</v>
      </c>
      <c r="C1200" s="1"/>
      <c r="D1200" s="1"/>
    </row>
    <row r="1201" spans="1:4">
      <c r="A1201" s="4">
        <v>46247</v>
      </c>
      <c r="B1201" s="1">
        <v>0</v>
      </c>
      <c r="C1201" s="1"/>
      <c r="D1201" s="1"/>
    </row>
    <row r="1202" spans="1:4">
      <c r="A1202" s="4">
        <v>46248</v>
      </c>
      <c r="B1202" s="1">
        <v>0</v>
      </c>
      <c r="C1202" s="1"/>
      <c r="D1202" s="1"/>
    </row>
    <row r="1203" spans="1:4">
      <c r="A1203" s="4">
        <v>46251</v>
      </c>
      <c r="B1203" s="1">
        <v>0</v>
      </c>
      <c r="C1203" s="1"/>
      <c r="D1203" s="1"/>
    </row>
    <row r="1204" spans="1:4">
      <c r="A1204" s="4">
        <v>46252</v>
      </c>
      <c r="B1204" s="1">
        <v>0</v>
      </c>
      <c r="C1204" s="1"/>
      <c r="D1204" s="1"/>
    </row>
    <row r="1205" spans="1:4">
      <c r="A1205" s="4">
        <v>46253</v>
      </c>
      <c r="B1205" s="1">
        <v>0</v>
      </c>
      <c r="C1205" s="1"/>
      <c r="D1205" s="1"/>
    </row>
    <row r="1206" spans="1:4">
      <c r="A1206" s="4">
        <v>46254</v>
      </c>
      <c r="B1206" s="1">
        <v>0</v>
      </c>
      <c r="C1206" s="1"/>
      <c r="D1206" s="1"/>
    </row>
    <row r="1207" spans="1:4">
      <c r="A1207" s="4">
        <v>46255</v>
      </c>
      <c r="B1207" s="1">
        <v>0</v>
      </c>
      <c r="C1207" s="1"/>
      <c r="D1207" s="1"/>
    </row>
    <row r="1208" spans="1:4">
      <c r="A1208" s="4">
        <v>46258</v>
      </c>
      <c r="B1208" s="1">
        <v>0</v>
      </c>
      <c r="C1208" s="1"/>
      <c r="D1208" s="1"/>
    </row>
    <row r="1209" spans="1:4">
      <c r="A1209" s="4">
        <v>46259</v>
      </c>
      <c r="B1209" s="1">
        <v>0</v>
      </c>
      <c r="C1209" s="1"/>
      <c r="D1209" s="1"/>
    </row>
    <row r="1210" spans="1:4">
      <c r="A1210" s="4">
        <v>46260</v>
      </c>
      <c r="B1210" s="1">
        <v>0</v>
      </c>
      <c r="C1210" s="1"/>
      <c r="D1210" s="1"/>
    </row>
    <row r="1211" spans="1:4">
      <c r="A1211" s="4">
        <v>46261</v>
      </c>
      <c r="B1211" s="1">
        <v>0</v>
      </c>
      <c r="C1211" s="1"/>
      <c r="D1211" s="1"/>
    </row>
    <row r="1212" spans="1:4">
      <c r="A1212" s="4">
        <v>46262</v>
      </c>
      <c r="B1212" s="1">
        <v>0</v>
      </c>
      <c r="C1212" s="1"/>
      <c r="D1212" s="1"/>
    </row>
    <row r="1213" spans="1:4">
      <c r="A1213" s="4">
        <v>46265</v>
      </c>
      <c r="B1213" s="1">
        <v>0</v>
      </c>
      <c r="C1213" s="1"/>
      <c r="D1213" s="1"/>
    </row>
    <row r="1214" spans="1:4">
      <c r="A1214" s="4">
        <v>46266</v>
      </c>
      <c r="B1214" s="1">
        <v>0</v>
      </c>
      <c r="C1214" s="1"/>
      <c r="D1214" s="1"/>
    </row>
    <row r="1215" spans="1:4">
      <c r="A1215" s="4">
        <v>46267</v>
      </c>
      <c r="B1215" s="1">
        <v>0</v>
      </c>
      <c r="C1215" s="1"/>
      <c r="D1215" s="1"/>
    </row>
    <row r="1216" spans="1:4">
      <c r="A1216" s="4">
        <v>46268</v>
      </c>
      <c r="B1216" s="1">
        <v>0</v>
      </c>
      <c r="C1216" s="1"/>
      <c r="D1216" s="1"/>
    </row>
    <row r="1217" spans="1:4">
      <c r="A1217" s="4">
        <v>46269</v>
      </c>
      <c r="B1217" s="1">
        <v>0</v>
      </c>
      <c r="C1217" s="1"/>
      <c r="D1217" s="1"/>
    </row>
    <row r="1218" spans="1:4">
      <c r="A1218" s="4">
        <v>46272</v>
      </c>
      <c r="B1218" s="1">
        <v>0</v>
      </c>
      <c r="C1218" s="1"/>
      <c r="D1218" s="1"/>
    </row>
    <row r="1219" spans="1:4">
      <c r="A1219" s="4">
        <v>46273</v>
      </c>
      <c r="B1219" s="1">
        <v>0</v>
      </c>
      <c r="C1219" s="1"/>
      <c r="D1219" s="1"/>
    </row>
    <row r="1220" spans="1:4">
      <c r="A1220" s="4">
        <v>46274</v>
      </c>
      <c r="B1220" s="1">
        <v>0</v>
      </c>
      <c r="C1220" s="1"/>
      <c r="D1220" s="1"/>
    </row>
    <row r="1221" spans="1:4">
      <c r="A1221" s="4">
        <v>46275</v>
      </c>
      <c r="B1221" s="1">
        <v>0</v>
      </c>
      <c r="C1221" s="1"/>
      <c r="D1221" s="1"/>
    </row>
    <row r="1222" spans="1:4">
      <c r="A1222" s="4">
        <v>46276</v>
      </c>
      <c r="B1222" s="1">
        <v>0</v>
      </c>
      <c r="C1222" s="1"/>
      <c r="D1222" s="1"/>
    </row>
    <row r="1223" spans="1:4">
      <c r="A1223" s="4">
        <v>46279</v>
      </c>
      <c r="B1223" s="1">
        <v>0</v>
      </c>
      <c r="C1223" s="1"/>
      <c r="D1223" s="1"/>
    </row>
    <row r="1224" spans="1:4">
      <c r="A1224" s="4">
        <v>46280</v>
      </c>
      <c r="B1224" s="1">
        <v>0</v>
      </c>
      <c r="C1224" s="1"/>
      <c r="D1224" s="1"/>
    </row>
    <row r="1225" spans="1:4">
      <c r="A1225" s="4">
        <v>46281</v>
      </c>
      <c r="B1225" s="1">
        <v>0</v>
      </c>
      <c r="C1225" s="1"/>
      <c r="D1225" s="1"/>
    </row>
    <row r="1226" spans="1:4">
      <c r="A1226" s="4">
        <v>46282</v>
      </c>
      <c r="B1226" s="1">
        <v>0</v>
      </c>
      <c r="C1226" s="1"/>
      <c r="D1226" s="1"/>
    </row>
    <row r="1227" spans="1:4">
      <c r="A1227" s="4">
        <v>46283</v>
      </c>
      <c r="B1227" s="1">
        <v>0</v>
      </c>
      <c r="C1227" s="1"/>
      <c r="D1227" s="1"/>
    </row>
    <row r="1228" spans="1:4">
      <c r="A1228" s="4">
        <v>46286</v>
      </c>
      <c r="B1228" s="1">
        <v>0</v>
      </c>
      <c r="C1228" s="1"/>
      <c r="D1228" s="1"/>
    </row>
    <row r="1229" spans="1:4">
      <c r="A1229" s="4">
        <v>46287</v>
      </c>
      <c r="B1229" s="1">
        <v>0</v>
      </c>
      <c r="C1229" s="1"/>
      <c r="D1229" s="1"/>
    </row>
    <row r="1230" spans="1:4">
      <c r="A1230" s="4">
        <v>46288</v>
      </c>
      <c r="B1230" s="1">
        <v>0</v>
      </c>
      <c r="C1230" s="1"/>
      <c r="D1230" s="1"/>
    </row>
    <row r="1231" spans="1:4">
      <c r="A1231" s="4">
        <v>46289</v>
      </c>
      <c r="B1231" s="1">
        <v>0</v>
      </c>
      <c r="C1231" s="1"/>
      <c r="D1231" s="1"/>
    </row>
    <row r="1232" spans="1:4">
      <c r="A1232" s="4">
        <v>46290</v>
      </c>
      <c r="B1232" s="1">
        <v>0</v>
      </c>
      <c r="C1232" s="1"/>
      <c r="D1232" s="1"/>
    </row>
    <row r="1233" spans="1:4">
      <c r="A1233" s="4">
        <v>46293</v>
      </c>
      <c r="B1233" s="1">
        <v>0</v>
      </c>
      <c r="C1233" s="1"/>
      <c r="D1233" s="1"/>
    </row>
    <row r="1234" spans="1:4">
      <c r="A1234" s="4">
        <v>46294</v>
      </c>
      <c r="B1234" s="1">
        <v>0</v>
      </c>
      <c r="C1234" s="1"/>
      <c r="D1234" s="1"/>
    </row>
    <row r="1235" spans="1:4">
      <c r="A1235" s="4">
        <v>46295</v>
      </c>
      <c r="B1235" s="1">
        <v>0</v>
      </c>
      <c r="C1235" s="1"/>
      <c r="D1235" s="1"/>
    </row>
    <row r="1236" spans="1:4">
      <c r="A1236" s="4">
        <v>46296</v>
      </c>
      <c r="B1236" s="1">
        <v>0</v>
      </c>
      <c r="C1236" s="1"/>
      <c r="D1236" s="1"/>
    </row>
    <row r="1237" spans="1:4">
      <c r="A1237" s="4">
        <v>46297</v>
      </c>
      <c r="B1237" s="1">
        <v>0</v>
      </c>
      <c r="C1237" s="1"/>
      <c r="D1237" s="1"/>
    </row>
    <row r="1238" spans="1:4">
      <c r="A1238" s="4">
        <v>46300</v>
      </c>
      <c r="B1238" s="1">
        <v>0</v>
      </c>
      <c r="C1238" s="1"/>
      <c r="D1238" s="1"/>
    </row>
    <row r="1239" spans="1:4">
      <c r="A1239" s="4">
        <v>46301</v>
      </c>
      <c r="B1239" s="1">
        <v>0</v>
      </c>
      <c r="C1239" s="1"/>
      <c r="D1239" s="1"/>
    </row>
    <row r="1240" spans="1:4">
      <c r="A1240" s="4">
        <v>46302</v>
      </c>
      <c r="B1240" s="1">
        <v>0</v>
      </c>
      <c r="C1240" s="1"/>
      <c r="D1240" s="1"/>
    </row>
    <row r="1241" spans="1:4">
      <c r="A1241" s="4">
        <v>46303</v>
      </c>
      <c r="B1241" s="1">
        <v>0</v>
      </c>
      <c r="C1241" s="1"/>
      <c r="D1241" s="1"/>
    </row>
    <row r="1242" spans="1:4">
      <c r="A1242" s="4">
        <v>46304</v>
      </c>
      <c r="B1242" s="1">
        <v>0</v>
      </c>
      <c r="C1242" s="1"/>
      <c r="D1242" s="1"/>
    </row>
    <row r="1243" spans="1:4">
      <c r="A1243" s="4">
        <v>46307</v>
      </c>
      <c r="B1243" s="1">
        <v>0</v>
      </c>
      <c r="C1243" s="1"/>
      <c r="D1243" s="1"/>
    </row>
    <row r="1244" spans="1:4">
      <c r="A1244" s="4">
        <v>46308</v>
      </c>
      <c r="B1244" s="1">
        <v>0</v>
      </c>
      <c r="C1244" s="1"/>
      <c r="D1244" s="1"/>
    </row>
    <row r="1245" spans="1:4">
      <c r="A1245" s="4">
        <v>46309</v>
      </c>
      <c r="B1245" s="1">
        <v>0</v>
      </c>
      <c r="C1245" s="1"/>
      <c r="D1245" s="1"/>
    </row>
    <row r="1246" spans="1:4">
      <c r="A1246" s="4">
        <v>46310</v>
      </c>
      <c r="B1246" s="1">
        <v>0</v>
      </c>
      <c r="C1246" s="1"/>
      <c r="D1246" s="1"/>
    </row>
    <row r="1247" spans="1:4">
      <c r="A1247" s="4">
        <v>46311</v>
      </c>
      <c r="B1247" s="1">
        <v>0</v>
      </c>
      <c r="C1247" s="1"/>
      <c r="D1247" s="1"/>
    </row>
    <row r="1248" spans="1:4">
      <c r="A1248" s="4">
        <v>46314</v>
      </c>
      <c r="B1248" s="1">
        <v>0</v>
      </c>
      <c r="C1248" s="1"/>
      <c r="D1248" s="1"/>
    </row>
    <row r="1249" spans="1:4">
      <c r="A1249" s="4">
        <v>46315</v>
      </c>
      <c r="B1249" s="1">
        <v>0</v>
      </c>
      <c r="C1249" s="1"/>
      <c r="D1249" s="1"/>
    </row>
    <row r="1250" spans="1:4">
      <c r="A1250" s="4">
        <v>46316</v>
      </c>
      <c r="B1250" s="1">
        <v>0</v>
      </c>
      <c r="C1250" s="1"/>
      <c r="D1250" s="1"/>
    </row>
    <row r="1251" spans="1:4">
      <c r="A1251" s="4">
        <v>46317</v>
      </c>
      <c r="B1251" s="1">
        <v>0</v>
      </c>
      <c r="C1251" s="1"/>
      <c r="D1251" s="1"/>
    </row>
    <row r="1252" spans="1:4">
      <c r="A1252" s="4">
        <v>46318</v>
      </c>
      <c r="B1252" s="1">
        <v>0</v>
      </c>
      <c r="C1252" s="1"/>
      <c r="D1252" s="1"/>
    </row>
    <row r="1253" spans="1:4">
      <c r="A1253" s="4">
        <v>46321</v>
      </c>
      <c r="B1253" s="1">
        <v>0</v>
      </c>
      <c r="C1253" s="1"/>
      <c r="D1253" s="1"/>
    </row>
    <row r="1254" spans="1:4">
      <c r="A1254" s="4">
        <v>46322</v>
      </c>
      <c r="B1254" s="1">
        <v>0</v>
      </c>
      <c r="C1254" s="1"/>
      <c r="D1254" s="1"/>
    </row>
    <row r="1255" spans="1:4">
      <c r="A1255" s="4">
        <v>46323</v>
      </c>
      <c r="B1255" s="1">
        <v>0</v>
      </c>
      <c r="C1255" s="1"/>
      <c r="D1255" s="1"/>
    </row>
    <row r="1256" spans="1:4">
      <c r="A1256" s="4">
        <v>46324</v>
      </c>
      <c r="B1256" s="1">
        <v>0</v>
      </c>
      <c r="C1256" s="1"/>
      <c r="D1256" s="1"/>
    </row>
    <row r="1257" spans="1:4">
      <c r="A1257" s="4">
        <v>46325</v>
      </c>
      <c r="B1257" s="1">
        <v>0</v>
      </c>
      <c r="C1257" s="1"/>
      <c r="D1257" s="1"/>
    </row>
    <row r="1258" spans="1:4">
      <c r="A1258" s="4">
        <v>46328</v>
      </c>
      <c r="B1258" s="1">
        <v>0</v>
      </c>
      <c r="C1258" s="1"/>
      <c r="D1258" s="1"/>
    </row>
    <row r="1259" spans="1:4">
      <c r="A1259" s="4">
        <v>46329</v>
      </c>
      <c r="B1259" s="1">
        <v>0</v>
      </c>
      <c r="C1259" s="1"/>
      <c r="D1259" s="1"/>
    </row>
    <row r="1260" spans="1:4">
      <c r="A1260" s="4">
        <v>46330</v>
      </c>
      <c r="B1260" s="1">
        <v>0</v>
      </c>
      <c r="C1260" s="1"/>
      <c r="D1260" s="1"/>
    </row>
    <row r="1261" spans="1:4">
      <c r="A1261" s="4">
        <v>46331</v>
      </c>
      <c r="B1261" s="1">
        <v>0</v>
      </c>
      <c r="C1261" s="1"/>
      <c r="D1261" s="1"/>
    </row>
    <row r="1262" spans="1:4">
      <c r="A1262" s="4">
        <v>46332</v>
      </c>
      <c r="B1262" s="1">
        <v>0</v>
      </c>
      <c r="C1262" s="1"/>
      <c r="D1262" s="1"/>
    </row>
    <row r="1263" spans="1:4">
      <c r="A1263" s="4">
        <v>46335</v>
      </c>
      <c r="B1263" s="1">
        <v>0</v>
      </c>
      <c r="C1263" s="1"/>
      <c r="D1263" s="1"/>
    </row>
    <row r="1264" spans="1:4">
      <c r="A1264" s="4">
        <v>46336</v>
      </c>
      <c r="B1264" s="1">
        <v>0</v>
      </c>
      <c r="C1264" s="1"/>
      <c r="D1264" s="1"/>
    </row>
    <row r="1265" spans="1:4">
      <c r="A1265" s="4">
        <v>46337</v>
      </c>
      <c r="B1265" s="1">
        <v>0</v>
      </c>
      <c r="C1265" s="1"/>
      <c r="D1265" s="1"/>
    </row>
    <row r="1266" spans="1:4">
      <c r="A1266" s="4">
        <v>46338</v>
      </c>
      <c r="B1266" s="1">
        <v>0</v>
      </c>
      <c r="C1266" s="1"/>
      <c r="D1266" s="1"/>
    </row>
    <row r="1267" spans="1:4">
      <c r="A1267" s="4">
        <v>46339</v>
      </c>
      <c r="B1267" s="1">
        <v>0</v>
      </c>
      <c r="C1267" s="1"/>
      <c r="D1267" s="1"/>
    </row>
    <row r="1268" spans="1:4">
      <c r="A1268" s="4">
        <v>46342</v>
      </c>
      <c r="B1268" s="1">
        <v>0</v>
      </c>
      <c r="C1268" s="1"/>
      <c r="D1268" s="1"/>
    </row>
    <row r="1269" spans="1:4">
      <c r="A1269" s="4">
        <v>46343</v>
      </c>
      <c r="B1269" s="1">
        <v>0</v>
      </c>
      <c r="C1269" s="1"/>
      <c r="D1269" s="1"/>
    </row>
    <row r="1270" spans="1:4">
      <c r="A1270" s="4">
        <v>46344</v>
      </c>
      <c r="B1270" s="1">
        <v>0</v>
      </c>
      <c r="C1270" s="1"/>
      <c r="D1270" s="1"/>
    </row>
    <row r="1271" spans="1:4">
      <c r="A1271" s="4">
        <v>46345</v>
      </c>
      <c r="B1271" s="1">
        <v>0</v>
      </c>
      <c r="C1271" s="1"/>
      <c r="D1271" s="1"/>
    </row>
    <row r="1272" spans="1:4">
      <c r="A1272" s="4">
        <v>46346</v>
      </c>
      <c r="B1272" s="1">
        <v>0</v>
      </c>
      <c r="C1272" s="1"/>
      <c r="D1272" s="1"/>
    </row>
    <row r="1273" spans="1:4">
      <c r="A1273" s="4">
        <v>46349</v>
      </c>
      <c r="B1273" s="1">
        <v>0</v>
      </c>
      <c r="C1273" s="1"/>
      <c r="D1273" s="1"/>
    </row>
    <row r="1274" spans="1:4">
      <c r="A1274" s="4">
        <v>46350</v>
      </c>
      <c r="B1274" s="1">
        <v>0</v>
      </c>
      <c r="C1274" s="1"/>
      <c r="D1274" s="1"/>
    </row>
    <row r="1275" spans="1:4">
      <c r="A1275" s="4">
        <v>46351</v>
      </c>
      <c r="B1275" s="1">
        <v>0</v>
      </c>
      <c r="C1275" s="1"/>
      <c r="D1275" s="1"/>
    </row>
    <row r="1276" spans="1:4">
      <c r="A1276" s="4">
        <v>46352</v>
      </c>
      <c r="B1276" s="1">
        <v>0</v>
      </c>
      <c r="C1276" s="1"/>
      <c r="D1276" s="1"/>
    </row>
    <row r="1277" spans="1:4">
      <c r="A1277" s="4">
        <v>46353</v>
      </c>
      <c r="B1277" s="1">
        <v>0</v>
      </c>
      <c r="C1277" s="1"/>
      <c r="D1277" s="1"/>
    </row>
    <row r="1278" spans="1:4">
      <c r="A1278" s="4">
        <v>46356</v>
      </c>
      <c r="B1278" s="1">
        <v>0</v>
      </c>
      <c r="C1278" s="1"/>
      <c r="D1278" s="1"/>
    </row>
    <row r="1279" spans="1:4">
      <c r="A1279" s="4">
        <v>46357</v>
      </c>
      <c r="B1279" s="1">
        <v>0</v>
      </c>
      <c r="C1279" s="1"/>
      <c r="D1279" s="1"/>
    </row>
    <row r="1280" spans="1:4">
      <c r="A1280" s="4">
        <v>46358</v>
      </c>
      <c r="B1280" s="1">
        <v>0</v>
      </c>
      <c r="C1280" s="1"/>
      <c r="D1280" s="1"/>
    </row>
    <row r="1281" spans="1:4">
      <c r="A1281" s="4">
        <v>46359</v>
      </c>
      <c r="B1281" s="1">
        <v>0</v>
      </c>
      <c r="C1281" s="1"/>
      <c r="D1281" s="1"/>
    </row>
    <row r="1282" spans="1:4">
      <c r="A1282" s="4">
        <v>46360</v>
      </c>
      <c r="B1282" s="1">
        <v>0</v>
      </c>
      <c r="C1282" s="1"/>
      <c r="D1282" s="1"/>
    </row>
    <row r="1283" spans="1:4">
      <c r="A1283" s="4">
        <v>46363</v>
      </c>
      <c r="B1283" s="1">
        <v>0</v>
      </c>
      <c r="C1283" s="1"/>
      <c r="D1283" s="1"/>
    </row>
    <row r="1284" spans="1:4">
      <c r="A1284" s="4">
        <v>46364</v>
      </c>
      <c r="B1284" s="1">
        <v>0</v>
      </c>
      <c r="C1284" s="1"/>
      <c r="D1284" s="1"/>
    </row>
    <row r="1285" spans="1:4">
      <c r="A1285" s="4">
        <v>46365</v>
      </c>
      <c r="B1285" s="1">
        <v>0</v>
      </c>
      <c r="C1285" s="1"/>
      <c r="D1285" s="1"/>
    </row>
    <row r="1286" spans="1:4">
      <c r="A1286" s="4">
        <v>46366</v>
      </c>
      <c r="B1286" s="1">
        <v>0</v>
      </c>
      <c r="C1286" s="1"/>
      <c r="D1286" s="1"/>
    </row>
    <row r="1287" spans="1:4">
      <c r="A1287" s="4">
        <v>46367</v>
      </c>
      <c r="B1287" s="1">
        <v>0</v>
      </c>
      <c r="C1287" s="1"/>
      <c r="D1287" s="1"/>
    </row>
    <row r="1288" spans="1:4">
      <c r="A1288" s="4">
        <v>46370</v>
      </c>
      <c r="B1288" s="1">
        <v>0</v>
      </c>
      <c r="C1288" s="1"/>
      <c r="D1288" s="1"/>
    </row>
    <row r="1289" spans="1:4">
      <c r="A1289" s="4">
        <v>46371</v>
      </c>
      <c r="B1289" s="1">
        <v>0</v>
      </c>
      <c r="C1289" s="1"/>
      <c r="D1289" s="1"/>
    </row>
    <row r="1290" spans="1:4">
      <c r="A1290" s="4">
        <v>46372</v>
      </c>
      <c r="B1290" s="1">
        <v>0</v>
      </c>
      <c r="C1290" s="1"/>
      <c r="D1290" s="1"/>
    </row>
    <row r="1291" spans="1:4">
      <c r="A1291" s="4">
        <v>46373</v>
      </c>
      <c r="B1291" s="1">
        <v>0</v>
      </c>
      <c r="C1291" s="1"/>
      <c r="D1291" s="1"/>
    </row>
    <row r="1292" spans="1:4">
      <c r="A1292" s="4">
        <v>46374</v>
      </c>
      <c r="B1292" s="1">
        <v>0</v>
      </c>
      <c r="C1292" s="1"/>
      <c r="D1292" s="1"/>
    </row>
    <row r="1293" spans="1:4">
      <c r="A1293" s="4">
        <v>46377</v>
      </c>
      <c r="B1293" s="1">
        <v>0</v>
      </c>
      <c r="C1293" s="1"/>
      <c r="D1293" s="1"/>
    </row>
    <row r="1294" spans="1:4">
      <c r="A1294" s="4">
        <v>46378</v>
      </c>
      <c r="B1294" s="1">
        <v>0</v>
      </c>
      <c r="C1294" s="1"/>
      <c r="D1294" s="1"/>
    </row>
    <row r="1295" spans="1:4">
      <c r="A1295" s="4">
        <v>46379</v>
      </c>
      <c r="B1295" s="1">
        <v>0</v>
      </c>
      <c r="C1295" s="1"/>
      <c r="D1295" s="1"/>
    </row>
    <row r="1296" spans="1:4">
      <c r="A1296" s="4">
        <v>46380</v>
      </c>
      <c r="B1296" s="1">
        <v>0</v>
      </c>
      <c r="C1296" s="1"/>
      <c r="D1296" s="1"/>
    </row>
    <row r="1297" spans="1:4">
      <c r="A1297" s="4">
        <v>46381</v>
      </c>
      <c r="B1297" s="1">
        <v>0</v>
      </c>
      <c r="C1297" s="1"/>
      <c r="D1297" s="1"/>
    </row>
    <row r="1298" spans="1:4">
      <c r="A1298" s="4">
        <v>46384</v>
      </c>
      <c r="B1298" s="1">
        <v>0</v>
      </c>
      <c r="C1298" s="1"/>
      <c r="D1298" s="1"/>
    </row>
    <row r="1299" spans="1:4">
      <c r="A1299" s="4">
        <v>46385</v>
      </c>
      <c r="B1299" s="1">
        <v>0</v>
      </c>
      <c r="C1299" s="1"/>
      <c r="D1299" s="1"/>
    </row>
    <row r="1300" spans="1:4">
      <c r="A1300" s="4">
        <v>46386</v>
      </c>
      <c r="B1300" s="1">
        <v>0</v>
      </c>
      <c r="C1300" s="1"/>
      <c r="D1300" s="1"/>
    </row>
    <row r="1301" spans="1:4">
      <c r="A1301" s="4">
        <v>46387</v>
      </c>
      <c r="B1301" s="1">
        <v>0</v>
      </c>
      <c r="C1301" s="1"/>
      <c r="D13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90B7-14F0-E843-8B54-C9862FFC6894}">
  <dimension ref="A1:E1044"/>
  <sheetViews>
    <sheetView topLeftCell="A1004" workbookViewId="0">
      <selection activeCell="H988" sqref="H988"/>
    </sheetView>
  </sheetViews>
  <sheetFormatPr baseColWidth="10" defaultRowHeight="24"/>
  <cols>
    <col min="1" max="1" width="83.1640625" style="7" bestFit="1" customWidth="1"/>
    <col min="2" max="2" width="20" style="7" bestFit="1" customWidth="1"/>
    <col min="3" max="4" width="18.1640625" style="7" bestFit="1" customWidth="1"/>
    <col min="5" max="5" width="19.1640625" style="7" bestFit="1" customWidth="1"/>
    <col min="6" max="16384" width="10.83203125" style="7"/>
  </cols>
  <sheetData>
    <row r="1" spans="1:5">
      <c r="A1" s="6" t="s">
        <v>110</v>
      </c>
      <c r="B1" s="6" t="s">
        <v>111</v>
      </c>
      <c r="C1" s="6" t="s">
        <v>107</v>
      </c>
      <c r="D1" s="6" t="s">
        <v>108</v>
      </c>
      <c r="E1" s="6" t="s">
        <v>112</v>
      </c>
    </row>
    <row r="2" spans="1:5">
      <c r="A2" s="7" t="s">
        <v>114</v>
      </c>
      <c r="B2" s="7" t="s">
        <v>113</v>
      </c>
      <c r="C2" s="8">
        <v>10.62</v>
      </c>
      <c r="D2" s="8">
        <v>0</v>
      </c>
      <c r="E2" s="8">
        <v>989.38</v>
      </c>
    </row>
    <row r="3" spans="1:5">
      <c r="A3" s="7" t="s">
        <v>115</v>
      </c>
      <c r="B3" s="7" t="s">
        <v>116</v>
      </c>
      <c r="C3" s="8">
        <v>909.04169999999999</v>
      </c>
      <c r="D3" s="8">
        <v>0</v>
      </c>
      <c r="E3" s="8">
        <v>80.338300000000004</v>
      </c>
    </row>
    <row r="4" spans="1:5">
      <c r="A4" s="7" t="s">
        <v>117</v>
      </c>
      <c r="B4" s="7" t="s">
        <v>118</v>
      </c>
      <c r="C4" s="8">
        <v>0</v>
      </c>
      <c r="D4" s="8">
        <v>931.95749999999998</v>
      </c>
      <c r="E4" s="8">
        <v>1012.2957</v>
      </c>
    </row>
    <row r="5" spans="1:5">
      <c r="A5" s="7" t="s">
        <v>119</v>
      </c>
      <c r="B5" s="7" t="s">
        <v>118</v>
      </c>
      <c r="C5" s="8">
        <v>15.93</v>
      </c>
      <c r="D5" s="8">
        <v>0</v>
      </c>
      <c r="E5" s="8">
        <v>996.36569999999995</v>
      </c>
    </row>
    <row r="6" spans="1:5">
      <c r="A6" s="7" t="s">
        <v>120</v>
      </c>
      <c r="B6" s="7" t="s">
        <v>121</v>
      </c>
      <c r="C6" s="8">
        <v>972.84500000000003</v>
      </c>
      <c r="D6" s="8">
        <v>0</v>
      </c>
      <c r="E6" s="8">
        <v>23.520700000000001</v>
      </c>
    </row>
    <row r="7" spans="1:5">
      <c r="A7" s="7" t="s">
        <v>114</v>
      </c>
      <c r="B7" s="7" t="s">
        <v>122</v>
      </c>
      <c r="C7" s="8">
        <v>10.62</v>
      </c>
      <c r="D7" s="8">
        <v>0</v>
      </c>
      <c r="E7" s="8">
        <v>1012.9007</v>
      </c>
    </row>
    <row r="8" spans="1:5">
      <c r="A8" s="7" t="s">
        <v>123</v>
      </c>
      <c r="B8" s="7" t="s">
        <v>122</v>
      </c>
      <c r="C8" s="8">
        <v>1006.9072</v>
      </c>
      <c r="D8" s="8">
        <v>0</v>
      </c>
      <c r="E8" s="8">
        <v>5.9935</v>
      </c>
    </row>
    <row r="9" spans="1:5">
      <c r="A9" s="7" t="s">
        <v>114</v>
      </c>
      <c r="B9" s="7" t="s">
        <v>124</v>
      </c>
      <c r="C9" s="8">
        <v>10.62</v>
      </c>
      <c r="D9" s="8">
        <v>0</v>
      </c>
      <c r="E9" s="8">
        <v>995.37350000000004</v>
      </c>
    </row>
    <row r="10" spans="1:5">
      <c r="A10" s="7" t="s">
        <v>125</v>
      </c>
      <c r="B10" s="7" t="s">
        <v>124</v>
      </c>
      <c r="C10" s="8">
        <v>774.79070000000002</v>
      </c>
      <c r="D10" s="8">
        <v>0</v>
      </c>
      <c r="E10" s="8">
        <v>220.58269999999999</v>
      </c>
    </row>
    <row r="11" spans="1:5">
      <c r="A11" s="7" t="s">
        <v>126</v>
      </c>
      <c r="B11" s="7" t="s">
        <v>124</v>
      </c>
      <c r="C11" s="8">
        <v>369.31810000000002</v>
      </c>
      <c r="D11" s="8">
        <v>0</v>
      </c>
      <c r="E11" s="8">
        <v>-148.7354</v>
      </c>
    </row>
    <row r="12" spans="1:5">
      <c r="A12" s="9" t="s">
        <v>127</v>
      </c>
      <c r="B12" s="9" t="s">
        <v>128</v>
      </c>
      <c r="C12" s="10">
        <v>88.5</v>
      </c>
      <c r="D12" s="8">
        <v>0</v>
      </c>
      <c r="E12" s="8">
        <v>-237.2354</v>
      </c>
    </row>
    <row r="13" spans="1:5">
      <c r="A13" s="7" t="s">
        <v>129</v>
      </c>
      <c r="B13" s="7" t="s">
        <v>130</v>
      </c>
      <c r="C13" s="8">
        <v>15.93</v>
      </c>
      <c r="D13" s="8">
        <v>0</v>
      </c>
      <c r="E13" s="8">
        <v>-253.16540000000001</v>
      </c>
    </row>
    <row r="14" spans="1:5">
      <c r="A14" s="7" t="s">
        <v>131</v>
      </c>
      <c r="B14" s="7" t="s">
        <v>130</v>
      </c>
      <c r="C14" s="8">
        <v>0</v>
      </c>
      <c r="D14" s="8">
        <v>1465.1371999999999</v>
      </c>
      <c r="E14" s="8">
        <v>1211.9718</v>
      </c>
    </row>
    <row r="15" spans="1:5">
      <c r="A15" s="7" t="s">
        <v>132</v>
      </c>
      <c r="B15" s="7" t="s">
        <v>130</v>
      </c>
      <c r="C15" s="8">
        <v>15.93</v>
      </c>
      <c r="D15" s="8">
        <v>0</v>
      </c>
      <c r="E15" s="8">
        <v>1196.0418</v>
      </c>
    </row>
    <row r="16" spans="1:5">
      <c r="A16" s="7" t="s">
        <v>133</v>
      </c>
      <c r="B16" s="7" t="s">
        <v>130</v>
      </c>
      <c r="C16" s="8">
        <v>15.93</v>
      </c>
      <c r="D16" s="8">
        <v>0</v>
      </c>
      <c r="E16" s="8">
        <v>1180.1117999999999</v>
      </c>
    </row>
    <row r="17" spans="1:5">
      <c r="A17" s="7" t="s">
        <v>134</v>
      </c>
      <c r="B17" s="7" t="s">
        <v>130</v>
      </c>
      <c r="C17" s="8">
        <v>15.93</v>
      </c>
      <c r="D17" s="8">
        <v>0</v>
      </c>
      <c r="E17" s="8">
        <v>1164.1818000000001</v>
      </c>
    </row>
    <row r="18" spans="1:5">
      <c r="A18" s="7" t="s">
        <v>135</v>
      </c>
      <c r="B18" s="7" t="s">
        <v>130</v>
      </c>
      <c r="C18" s="8">
        <v>15.93</v>
      </c>
      <c r="D18" s="8">
        <v>0</v>
      </c>
      <c r="E18" s="8">
        <v>1148.2518</v>
      </c>
    </row>
    <row r="19" spans="1:5">
      <c r="A19" s="7" t="s">
        <v>136</v>
      </c>
      <c r="B19" s="7" t="s">
        <v>137</v>
      </c>
      <c r="C19" s="8">
        <v>15.93</v>
      </c>
      <c r="D19" s="8">
        <v>0</v>
      </c>
      <c r="E19" s="8">
        <v>1132.3217999999999</v>
      </c>
    </row>
    <row r="20" spans="1:5">
      <c r="A20" s="7" t="s">
        <v>138</v>
      </c>
      <c r="B20" s="7" t="s">
        <v>137</v>
      </c>
      <c r="C20" s="8">
        <v>15.93</v>
      </c>
      <c r="D20" s="8">
        <v>0</v>
      </c>
      <c r="E20" s="8">
        <v>1116.3918000000001</v>
      </c>
    </row>
    <row r="21" spans="1:5">
      <c r="A21" s="7" t="s">
        <v>139</v>
      </c>
      <c r="B21" s="7" t="s">
        <v>137</v>
      </c>
      <c r="C21" s="8">
        <v>15.93</v>
      </c>
      <c r="D21" s="8">
        <v>0</v>
      </c>
      <c r="E21" s="8">
        <v>1100.4618</v>
      </c>
    </row>
    <row r="22" spans="1:5">
      <c r="A22" s="7" t="s">
        <v>140</v>
      </c>
      <c r="B22" s="7" t="s">
        <v>137</v>
      </c>
      <c r="C22" s="8">
        <v>15.93</v>
      </c>
      <c r="D22" s="8">
        <v>0</v>
      </c>
      <c r="E22" s="8">
        <v>1084.5318</v>
      </c>
    </row>
    <row r="23" spans="1:5">
      <c r="A23" s="7" t="s">
        <v>141</v>
      </c>
      <c r="B23" s="7" t="s">
        <v>137</v>
      </c>
      <c r="C23" s="8">
        <v>15.93</v>
      </c>
      <c r="D23" s="8">
        <v>0</v>
      </c>
      <c r="E23" s="8">
        <v>1068.6017999999999</v>
      </c>
    </row>
    <row r="24" spans="1:5">
      <c r="A24" s="7" t="s">
        <v>142</v>
      </c>
      <c r="B24" s="7" t="s">
        <v>137</v>
      </c>
      <c r="C24" s="8">
        <v>15.93</v>
      </c>
      <c r="D24" s="8">
        <v>0</v>
      </c>
      <c r="E24" s="8">
        <v>1052.6718000000001</v>
      </c>
    </row>
    <row r="25" spans="1:5">
      <c r="A25" s="7" t="s">
        <v>143</v>
      </c>
      <c r="B25" s="7" t="s">
        <v>137</v>
      </c>
      <c r="C25" s="8">
        <v>15.93</v>
      </c>
      <c r="D25" s="8">
        <v>0</v>
      </c>
      <c r="E25" s="8">
        <v>1036.7418</v>
      </c>
    </row>
    <row r="26" spans="1:5">
      <c r="A26" s="7" t="s">
        <v>144</v>
      </c>
      <c r="B26" s="7" t="s">
        <v>137</v>
      </c>
      <c r="C26" s="8">
        <v>15.93</v>
      </c>
      <c r="D26" s="8">
        <v>0</v>
      </c>
      <c r="E26" s="8">
        <v>1020.8117999999999</v>
      </c>
    </row>
    <row r="27" spans="1:5">
      <c r="A27" s="7" t="s">
        <v>145</v>
      </c>
      <c r="B27" s="7" t="s">
        <v>137</v>
      </c>
      <c r="C27" s="8">
        <v>15.93</v>
      </c>
      <c r="D27" s="8">
        <v>0</v>
      </c>
      <c r="E27" s="8">
        <v>1004.8818</v>
      </c>
    </row>
    <row r="28" spans="1:5">
      <c r="A28" s="7" t="s">
        <v>146</v>
      </c>
      <c r="B28" s="7" t="s">
        <v>137</v>
      </c>
      <c r="C28" s="8">
        <v>15.93</v>
      </c>
      <c r="D28" s="8">
        <v>0</v>
      </c>
      <c r="E28" s="8">
        <v>988.95180000000005</v>
      </c>
    </row>
    <row r="29" spans="1:5">
      <c r="A29" s="7" t="s">
        <v>147</v>
      </c>
      <c r="B29" s="7" t="s">
        <v>137</v>
      </c>
      <c r="C29" s="8">
        <v>15.93</v>
      </c>
      <c r="D29" s="8">
        <v>0</v>
      </c>
      <c r="E29" s="8">
        <v>973.02179999999998</v>
      </c>
    </row>
    <row r="30" spans="1:5">
      <c r="A30" s="7" t="s">
        <v>148</v>
      </c>
      <c r="B30" s="7" t="s">
        <v>137</v>
      </c>
      <c r="C30" s="8">
        <v>15.93</v>
      </c>
      <c r="D30" s="8">
        <v>0</v>
      </c>
      <c r="E30" s="8">
        <v>957.09180000000003</v>
      </c>
    </row>
    <row r="31" spans="1:5">
      <c r="A31" s="7" t="s">
        <v>149</v>
      </c>
      <c r="B31" s="7" t="s">
        <v>137</v>
      </c>
      <c r="C31" s="8">
        <v>0</v>
      </c>
      <c r="D31" s="8">
        <v>1415.2891999999999</v>
      </c>
      <c r="E31" s="8">
        <v>2372.3809999999999</v>
      </c>
    </row>
    <row r="32" spans="1:5">
      <c r="A32" s="7" t="s">
        <v>114</v>
      </c>
      <c r="B32" s="7" t="s">
        <v>150</v>
      </c>
      <c r="C32" s="8">
        <v>10.62</v>
      </c>
      <c r="D32" s="8">
        <v>0</v>
      </c>
      <c r="E32" s="8">
        <v>10361.761</v>
      </c>
    </row>
    <row r="33" spans="1:5">
      <c r="A33" s="7" t="s">
        <v>126</v>
      </c>
      <c r="B33" s="7" t="s">
        <v>150</v>
      </c>
      <c r="C33" s="8">
        <v>8904.9136999999992</v>
      </c>
      <c r="D33" s="8">
        <v>0</v>
      </c>
      <c r="E33" s="8">
        <v>1456.8472999999999</v>
      </c>
    </row>
    <row r="34" spans="1:5">
      <c r="A34" s="7" t="s">
        <v>126</v>
      </c>
      <c r="B34" s="7" t="s">
        <v>151</v>
      </c>
      <c r="C34" s="8">
        <v>0</v>
      </c>
      <c r="D34" s="8">
        <v>11238.343000000001</v>
      </c>
      <c r="E34" s="8">
        <v>12695.1903</v>
      </c>
    </row>
    <row r="35" spans="1:5">
      <c r="A35" s="7" t="s">
        <v>126</v>
      </c>
      <c r="B35" s="7" t="s">
        <v>152</v>
      </c>
      <c r="C35" s="8">
        <v>8244.7515000000003</v>
      </c>
      <c r="D35" s="8">
        <v>0</v>
      </c>
      <c r="E35" s="8">
        <v>-8244.7512999999999</v>
      </c>
    </row>
    <row r="36" spans="1:5">
      <c r="A36" s="7" t="s">
        <v>153</v>
      </c>
      <c r="B36" s="7" t="s">
        <v>152</v>
      </c>
      <c r="C36" s="8">
        <v>3347.5329999999999</v>
      </c>
      <c r="D36" s="8">
        <v>0</v>
      </c>
      <c r="E36" s="8">
        <v>-11592.2842</v>
      </c>
    </row>
    <row r="37" spans="1:5">
      <c r="A37" s="7" t="s">
        <v>114</v>
      </c>
      <c r="B37" s="7" t="s">
        <v>152</v>
      </c>
      <c r="C37" s="8">
        <v>10.62</v>
      </c>
      <c r="D37" s="8">
        <v>0</v>
      </c>
      <c r="E37" s="8">
        <v>3397.0958000000001</v>
      </c>
    </row>
    <row r="38" spans="1:5">
      <c r="A38" s="7" t="s">
        <v>126</v>
      </c>
      <c r="B38" s="7" t="s">
        <v>154</v>
      </c>
      <c r="C38" s="8">
        <v>0</v>
      </c>
      <c r="D38" s="8">
        <v>238.73570000000001</v>
      </c>
      <c r="E38" s="8">
        <v>3635.8314999999998</v>
      </c>
    </row>
    <row r="39" spans="1:5">
      <c r="A39" s="7" t="s">
        <v>114</v>
      </c>
      <c r="B39" s="7" t="s">
        <v>155</v>
      </c>
      <c r="C39" s="8">
        <v>10.62</v>
      </c>
      <c r="D39" s="8">
        <v>0</v>
      </c>
      <c r="E39" s="8">
        <v>4625.2115000000003</v>
      </c>
    </row>
    <row r="40" spans="1:5">
      <c r="A40" s="7" t="s">
        <v>126</v>
      </c>
      <c r="B40" s="7" t="s">
        <v>155</v>
      </c>
      <c r="C40" s="8">
        <v>1422.9108000000001</v>
      </c>
      <c r="D40" s="8">
        <v>0</v>
      </c>
      <c r="E40" s="8">
        <v>3202.3006999999998</v>
      </c>
    </row>
    <row r="41" spans="1:5">
      <c r="A41" s="7" t="s">
        <v>156</v>
      </c>
      <c r="B41" s="7" t="s">
        <v>155</v>
      </c>
      <c r="C41" s="8">
        <v>108.239</v>
      </c>
      <c r="D41" s="8">
        <v>0</v>
      </c>
      <c r="E41" s="8">
        <v>3094.0617000000002</v>
      </c>
    </row>
    <row r="42" spans="1:5">
      <c r="A42" s="7" t="s">
        <v>157</v>
      </c>
      <c r="B42" s="7" t="s">
        <v>158</v>
      </c>
      <c r="C42" s="8">
        <v>0</v>
      </c>
      <c r="D42" s="8">
        <v>625.96749999999997</v>
      </c>
      <c r="E42" s="8">
        <v>3720.0291999999999</v>
      </c>
    </row>
    <row r="43" spans="1:5">
      <c r="A43" s="7" t="s">
        <v>159</v>
      </c>
      <c r="B43" s="7" t="s">
        <v>158</v>
      </c>
      <c r="C43" s="8">
        <v>15.93</v>
      </c>
      <c r="D43" s="8">
        <v>0</v>
      </c>
      <c r="E43" s="8">
        <v>3704.0992000000001</v>
      </c>
    </row>
    <row r="44" spans="1:5">
      <c r="A44" s="7" t="s">
        <v>126</v>
      </c>
      <c r="B44" s="7" t="s">
        <v>158</v>
      </c>
      <c r="C44" s="8">
        <v>1524.5389</v>
      </c>
      <c r="D44" s="8">
        <v>0</v>
      </c>
      <c r="E44" s="8">
        <v>2179.5603999999998</v>
      </c>
    </row>
    <row r="45" spans="1:5">
      <c r="A45" s="7" t="s">
        <v>126</v>
      </c>
      <c r="B45" s="7" t="s">
        <v>160</v>
      </c>
      <c r="C45" s="8">
        <v>0</v>
      </c>
      <c r="D45" s="8">
        <v>908.9443</v>
      </c>
      <c r="E45" s="8">
        <v>3088.5047</v>
      </c>
    </row>
    <row r="46" spans="1:5">
      <c r="A46" s="7" t="s">
        <v>126</v>
      </c>
      <c r="B46" s="7" t="s">
        <v>161</v>
      </c>
      <c r="C46" s="8">
        <v>128.5779</v>
      </c>
      <c r="D46" s="8">
        <v>0</v>
      </c>
      <c r="E46" s="8">
        <v>2959.9268000000002</v>
      </c>
    </row>
    <row r="47" spans="1:5">
      <c r="A47" s="7" t="s">
        <v>162</v>
      </c>
      <c r="B47" s="7" t="s">
        <v>161</v>
      </c>
      <c r="C47" s="8">
        <v>0.3579</v>
      </c>
      <c r="D47" s="8">
        <v>0</v>
      </c>
      <c r="E47" s="8">
        <v>2959.5689000000002</v>
      </c>
    </row>
    <row r="48" spans="1:5">
      <c r="A48" s="7" t="s">
        <v>126</v>
      </c>
      <c r="B48" s="7" t="s">
        <v>163</v>
      </c>
      <c r="C48" s="8">
        <v>105.8231</v>
      </c>
      <c r="D48" s="8">
        <v>0</v>
      </c>
      <c r="E48" s="8">
        <v>2853.7458000000001</v>
      </c>
    </row>
    <row r="49" spans="1:5">
      <c r="A49" s="7" t="s">
        <v>126</v>
      </c>
      <c r="B49" s="7" t="s">
        <v>164</v>
      </c>
      <c r="C49" s="8">
        <v>2242.3231000000001</v>
      </c>
      <c r="D49" s="8">
        <v>0</v>
      </c>
      <c r="E49" s="8">
        <v>611.42280000000005</v>
      </c>
    </row>
    <row r="50" spans="1:5">
      <c r="A50" s="7" t="s">
        <v>165</v>
      </c>
      <c r="B50" s="7" t="s">
        <v>164</v>
      </c>
      <c r="C50" s="8">
        <v>516.78309999999999</v>
      </c>
      <c r="D50" s="8">
        <v>0</v>
      </c>
      <c r="E50" s="8">
        <v>94.639700000000005</v>
      </c>
    </row>
    <row r="51" spans="1:5">
      <c r="A51" s="7" t="s">
        <v>126</v>
      </c>
      <c r="B51" s="7" t="s">
        <v>166</v>
      </c>
      <c r="C51" s="8">
        <v>85.615399999999994</v>
      </c>
      <c r="D51" s="8">
        <v>0</v>
      </c>
      <c r="E51" s="8">
        <v>9.0243000000000002</v>
      </c>
    </row>
    <row r="52" spans="1:5">
      <c r="A52" s="7" t="s">
        <v>126</v>
      </c>
      <c r="B52" s="7" t="s">
        <v>167</v>
      </c>
      <c r="C52" s="8">
        <v>0</v>
      </c>
      <c r="D52" s="8">
        <v>1297.2074</v>
      </c>
      <c r="E52" s="8">
        <v>1306.2317</v>
      </c>
    </row>
    <row r="53" spans="1:5">
      <c r="A53" s="7" t="s">
        <v>168</v>
      </c>
      <c r="B53" s="7" t="s">
        <v>169</v>
      </c>
      <c r="C53" s="8">
        <v>4.5416999999999996</v>
      </c>
      <c r="D53" s="8">
        <v>0</v>
      </c>
      <c r="E53" s="8">
        <v>1301.69</v>
      </c>
    </row>
    <row r="54" spans="1:5">
      <c r="A54" s="7" t="s">
        <v>170</v>
      </c>
      <c r="B54" s="7" t="s">
        <v>171</v>
      </c>
      <c r="C54" s="8">
        <v>15.93</v>
      </c>
      <c r="D54" s="8">
        <v>0</v>
      </c>
      <c r="E54" s="8">
        <v>1285.76</v>
      </c>
    </row>
    <row r="55" spans="1:5">
      <c r="A55" s="7" t="s">
        <v>172</v>
      </c>
      <c r="B55" s="7" t="s">
        <v>171</v>
      </c>
      <c r="C55" s="8">
        <v>15.93</v>
      </c>
      <c r="D55" s="8">
        <v>0</v>
      </c>
      <c r="E55" s="8">
        <v>1269.83</v>
      </c>
    </row>
    <row r="56" spans="1:5">
      <c r="A56" s="7" t="s">
        <v>173</v>
      </c>
      <c r="B56" s="7" t="s">
        <v>171</v>
      </c>
      <c r="C56" s="8">
        <v>15.93</v>
      </c>
      <c r="D56" s="8">
        <v>0</v>
      </c>
      <c r="E56" s="8">
        <v>1253.9000000000001</v>
      </c>
    </row>
    <row r="57" spans="1:5">
      <c r="A57" s="7" t="s">
        <v>174</v>
      </c>
      <c r="B57" s="7" t="s">
        <v>171</v>
      </c>
      <c r="C57" s="8">
        <v>0</v>
      </c>
      <c r="D57" s="8">
        <v>2364.1165000000001</v>
      </c>
      <c r="E57" s="8">
        <v>3618.0165000000002</v>
      </c>
    </row>
    <row r="58" spans="1:5">
      <c r="A58" s="7" t="s">
        <v>126</v>
      </c>
      <c r="B58" s="7" t="s">
        <v>171</v>
      </c>
      <c r="C58" s="8">
        <v>575.899</v>
      </c>
      <c r="D58" s="8">
        <v>0</v>
      </c>
      <c r="E58" s="8">
        <v>3042.1174999999998</v>
      </c>
    </row>
    <row r="59" spans="1:5">
      <c r="A59" s="7" t="s">
        <v>126</v>
      </c>
      <c r="B59" s="7" t="s">
        <v>175</v>
      </c>
      <c r="C59" s="8">
        <v>2656.1062000000002</v>
      </c>
      <c r="D59" s="8">
        <v>0</v>
      </c>
      <c r="E59" s="8">
        <v>386.01130000000001</v>
      </c>
    </row>
    <row r="60" spans="1:5">
      <c r="A60" s="7" t="s">
        <v>126</v>
      </c>
      <c r="B60" s="7" t="s">
        <v>176</v>
      </c>
      <c r="C60" s="8">
        <v>0</v>
      </c>
      <c r="D60" s="8">
        <v>703.52710000000002</v>
      </c>
      <c r="E60" s="8">
        <v>1089.5382999999999</v>
      </c>
    </row>
    <row r="61" spans="1:5">
      <c r="A61" s="7" t="s">
        <v>177</v>
      </c>
      <c r="B61" s="7" t="s">
        <v>176</v>
      </c>
      <c r="C61" s="8">
        <v>208.51929999999999</v>
      </c>
      <c r="D61" s="8">
        <v>0</v>
      </c>
      <c r="E61" s="8">
        <v>881.01909999999998</v>
      </c>
    </row>
    <row r="62" spans="1:5">
      <c r="A62" s="7" t="s">
        <v>114</v>
      </c>
      <c r="B62" s="7" t="s">
        <v>178</v>
      </c>
      <c r="C62" s="8">
        <v>10.62</v>
      </c>
      <c r="D62" s="8">
        <v>0</v>
      </c>
      <c r="E62" s="8">
        <v>3370.3991000000001</v>
      </c>
    </row>
    <row r="63" spans="1:5">
      <c r="A63" s="7" t="s">
        <v>114</v>
      </c>
      <c r="B63" s="7" t="s">
        <v>178</v>
      </c>
      <c r="C63" s="8">
        <v>10.62</v>
      </c>
      <c r="D63" s="8">
        <v>0</v>
      </c>
      <c r="E63" s="8">
        <v>3359.7791000000002</v>
      </c>
    </row>
    <row r="64" spans="1:5">
      <c r="A64" s="7" t="s">
        <v>126</v>
      </c>
      <c r="B64" s="7" t="s">
        <v>178</v>
      </c>
      <c r="C64" s="8">
        <v>0</v>
      </c>
      <c r="D64" s="8">
        <v>2557.6428000000001</v>
      </c>
      <c r="E64" s="8">
        <v>5917.4219000000003</v>
      </c>
    </row>
    <row r="65" spans="1:5">
      <c r="A65" s="7" t="s">
        <v>126</v>
      </c>
      <c r="B65" s="7" t="s">
        <v>179</v>
      </c>
      <c r="C65" s="8">
        <v>0</v>
      </c>
      <c r="D65" s="8">
        <v>423.79829999999998</v>
      </c>
      <c r="E65" s="8">
        <v>6341.2201999999997</v>
      </c>
    </row>
    <row r="66" spans="1:5">
      <c r="A66" s="7" t="s">
        <v>126</v>
      </c>
      <c r="B66" s="7" t="s">
        <v>180</v>
      </c>
      <c r="C66" s="8">
        <v>0</v>
      </c>
      <c r="D66" s="8">
        <v>463.87950000000001</v>
      </c>
      <c r="E66" s="8">
        <v>6805.0996999999998</v>
      </c>
    </row>
    <row r="67" spans="1:5">
      <c r="A67" s="7" t="s">
        <v>126</v>
      </c>
      <c r="B67" s="7" t="s">
        <v>181</v>
      </c>
      <c r="C67" s="8">
        <v>5383.0375999999997</v>
      </c>
      <c r="D67" s="8">
        <v>0</v>
      </c>
      <c r="E67" s="8">
        <v>1422.0621000000001</v>
      </c>
    </row>
    <row r="68" spans="1:5">
      <c r="A68" s="7" t="s">
        <v>126</v>
      </c>
      <c r="B68" s="7" t="s">
        <v>182</v>
      </c>
      <c r="C68" s="8">
        <v>0</v>
      </c>
      <c r="D68" s="8">
        <v>3418.9328</v>
      </c>
      <c r="E68" s="8">
        <v>4840.9948999999997</v>
      </c>
    </row>
    <row r="69" spans="1:5">
      <c r="A69" s="7" t="s">
        <v>183</v>
      </c>
      <c r="B69" s="7" t="s">
        <v>182</v>
      </c>
      <c r="C69" s="8">
        <v>0</v>
      </c>
      <c r="D69" s="8">
        <v>1281.2854</v>
      </c>
      <c r="E69" s="8">
        <v>6122.2803000000004</v>
      </c>
    </row>
    <row r="70" spans="1:5">
      <c r="A70" s="7" t="s">
        <v>184</v>
      </c>
      <c r="B70" s="7" t="s">
        <v>182</v>
      </c>
      <c r="C70" s="8">
        <v>15.93</v>
      </c>
      <c r="D70" s="8">
        <v>0</v>
      </c>
      <c r="E70" s="8">
        <v>6106.3503000000001</v>
      </c>
    </row>
    <row r="71" spans="1:5">
      <c r="A71" s="7" t="s">
        <v>185</v>
      </c>
      <c r="B71" s="7" t="s">
        <v>182</v>
      </c>
      <c r="C71" s="8">
        <v>15.93</v>
      </c>
      <c r="D71" s="8">
        <v>0</v>
      </c>
      <c r="E71" s="8">
        <v>6090.4202999999998</v>
      </c>
    </row>
    <row r="72" spans="1:5">
      <c r="A72" s="7" t="s">
        <v>186</v>
      </c>
      <c r="B72" s="7" t="s">
        <v>182</v>
      </c>
      <c r="C72" s="8">
        <v>15.93</v>
      </c>
      <c r="D72" s="8">
        <v>0</v>
      </c>
      <c r="E72" s="8">
        <v>6074.4903000000004</v>
      </c>
    </row>
    <row r="73" spans="1:5">
      <c r="A73" s="7" t="s">
        <v>126</v>
      </c>
      <c r="B73" s="7" t="s">
        <v>187</v>
      </c>
      <c r="C73" s="8">
        <v>4329.8923999999997</v>
      </c>
      <c r="D73" s="8">
        <v>0</v>
      </c>
      <c r="E73" s="8">
        <v>1744.5979</v>
      </c>
    </row>
    <row r="74" spans="1:5">
      <c r="A74" s="7" t="s">
        <v>126</v>
      </c>
      <c r="B74" s="7" t="s">
        <v>188</v>
      </c>
      <c r="C74" s="8">
        <v>0</v>
      </c>
      <c r="D74" s="8">
        <v>2202.7563</v>
      </c>
      <c r="E74" s="8">
        <v>3947.3543</v>
      </c>
    </row>
    <row r="75" spans="1:5">
      <c r="A75" s="7" t="s">
        <v>126</v>
      </c>
      <c r="B75" s="7" t="s">
        <v>189</v>
      </c>
      <c r="C75" s="8">
        <v>3408.8022000000001</v>
      </c>
      <c r="D75" s="8">
        <v>0</v>
      </c>
      <c r="E75" s="8">
        <v>538.55200000000002</v>
      </c>
    </row>
    <row r="76" spans="1:5">
      <c r="A76" s="7" t="s">
        <v>114</v>
      </c>
      <c r="B76" s="7" t="s">
        <v>190</v>
      </c>
      <c r="C76" s="8">
        <v>10.62</v>
      </c>
      <c r="D76" s="8">
        <v>0</v>
      </c>
      <c r="E76" s="8">
        <v>10527.932000000001</v>
      </c>
    </row>
    <row r="77" spans="1:5">
      <c r="A77" s="7" t="s">
        <v>126</v>
      </c>
      <c r="B77" s="7" t="s">
        <v>190</v>
      </c>
      <c r="C77" s="8">
        <v>0</v>
      </c>
      <c r="D77" s="8">
        <v>2677.3433</v>
      </c>
      <c r="E77" s="8">
        <v>13205.275299999999</v>
      </c>
    </row>
    <row r="78" spans="1:5">
      <c r="A78" s="7" t="s">
        <v>126</v>
      </c>
      <c r="B78" s="7" t="s">
        <v>191</v>
      </c>
      <c r="C78" s="8">
        <v>619.11249999999995</v>
      </c>
      <c r="D78" s="8">
        <v>0</v>
      </c>
      <c r="E78" s="8">
        <v>12586.1628</v>
      </c>
    </row>
    <row r="79" spans="1:5">
      <c r="A79" s="7" t="s">
        <v>126</v>
      </c>
      <c r="B79" s="7" t="s">
        <v>192</v>
      </c>
      <c r="C79" s="8">
        <v>5317.4243999999999</v>
      </c>
      <c r="D79" s="8">
        <v>0</v>
      </c>
      <c r="E79" s="8">
        <v>7268.7384000000002</v>
      </c>
    </row>
    <row r="80" spans="1:5">
      <c r="A80" s="7" t="s">
        <v>126</v>
      </c>
      <c r="B80" s="7" t="s">
        <v>193</v>
      </c>
      <c r="C80" s="8">
        <v>0</v>
      </c>
      <c r="D80" s="8">
        <v>329.87729999999999</v>
      </c>
      <c r="E80" s="8">
        <v>7598.6157000000003</v>
      </c>
    </row>
    <row r="81" spans="1:5">
      <c r="A81" s="7" t="s">
        <v>126</v>
      </c>
      <c r="B81" s="7" t="s">
        <v>194</v>
      </c>
      <c r="C81" s="8">
        <v>94.187899999999999</v>
      </c>
      <c r="D81" s="8">
        <v>0</v>
      </c>
      <c r="E81" s="8">
        <v>7504.4278000000004</v>
      </c>
    </row>
    <row r="82" spans="1:5">
      <c r="A82" s="7" t="s">
        <v>195</v>
      </c>
      <c r="B82" s="7" t="s">
        <v>194</v>
      </c>
      <c r="C82" s="8">
        <v>722.0856</v>
      </c>
      <c r="D82" s="8">
        <v>0</v>
      </c>
      <c r="E82" s="8">
        <v>6782.3422</v>
      </c>
    </row>
    <row r="83" spans="1:5">
      <c r="A83" s="7" t="s">
        <v>114</v>
      </c>
      <c r="B83" s="7" t="s">
        <v>196</v>
      </c>
      <c r="C83" s="8">
        <v>10.62</v>
      </c>
      <c r="D83" s="8">
        <v>0</v>
      </c>
      <c r="E83" s="8">
        <v>16771.7222</v>
      </c>
    </row>
    <row r="84" spans="1:5">
      <c r="A84" s="7" t="s">
        <v>126</v>
      </c>
      <c r="B84" s="7" t="s">
        <v>196</v>
      </c>
      <c r="C84" s="8">
        <v>6089.4994999999999</v>
      </c>
      <c r="D84" s="8">
        <v>0</v>
      </c>
      <c r="E84" s="8">
        <v>10682.2227</v>
      </c>
    </row>
    <row r="85" spans="1:5">
      <c r="A85" s="7" t="s">
        <v>126</v>
      </c>
      <c r="B85" s="7" t="s">
        <v>197</v>
      </c>
      <c r="C85" s="8">
        <v>0</v>
      </c>
      <c r="D85" s="8">
        <v>108.0004</v>
      </c>
      <c r="E85" s="8">
        <v>10790.223099999999</v>
      </c>
    </row>
    <row r="86" spans="1:5">
      <c r="A86" s="7" t="s">
        <v>198</v>
      </c>
      <c r="B86" s="7" t="s">
        <v>199</v>
      </c>
      <c r="C86" s="8">
        <v>15.93</v>
      </c>
      <c r="D86" s="8">
        <v>0</v>
      </c>
      <c r="E86" s="8">
        <v>10774.293100000001</v>
      </c>
    </row>
    <row r="87" spans="1:5">
      <c r="A87" s="7" t="s">
        <v>200</v>
      </c>
      <c r="B87" s="7" t="s">
        <v>199</v>
      </c>
      <c r="C87" s="8">
        <v>0</v>
      </c>
      <c r="D87" s="8">
        <v>73.962900000000005</v>
      </c>
      <c r="E87" s="8">
        <v>10848.255999999999</v>
      </c>
    </row>
    <row r="88" spans="1:5">
      <c r="A88" s="7" t="s">
        <v>126</v>
      </c>
      <c r="B88" s="7" t="s">
        <v>199</v>
      </c>
      <c r="C88" s="8">
        <v>3391.5852</v>
      </c>
      <c r="D88" s="8">
        <v>0</v>
      </c>
      <c r="E88" s="8">
        <v>7456.6707999999999</v>
      </c>
    </row>
    <row r="89" spans="1:5">
      <c r="A89" s="7" t="s">
        <v>201</v>
      </c>
      <c r="B89" s="7" t="s">
        <v>202</v>
      </c>
      <c r="C89" s="8">
        <v>1295.8579</v>
      </c>
      <c r="D89" s="8">
        <v>0</v>
      </c>
      <c r="E89" s="8">
        <v>6160.8128999999999</v>
      </c>
    </row>
    <row r="90" spans="1:5">
      <c r="A90" s="7" t="s">
        <v>126</v>
      </c>
      <c r="B90" s="7" t="s">
        <v>202</v>
      </c>
      <c r="C90" s="8">
        <v>0</v>
      </c>
      <c r="D90" s="8">
        <v>220.08019999999999</v>
      </c>
      <c r="E90" s="8">
        <v>6380.8932000000004</v>
      </c>
    </row>
    <row r="91" spans="1:5">
      <c r="A91" s="7" t="s">
        <v>203</v>
      </c>
      <c r="B91" s="7" t="s">
        <v>204</v>
      </c>
      <c r="C91" s="8">
        <v>118</v>
      </c>
      <c r="D91" s="8">
        <v>0</v>
      </c>
      <c r="E91" s="8">
        <v>6262.8932000000004</v>
      </c>
    </row>
    <row r="92" spans="1:5">
      <c r="A92" s="7" t="s">
        <v>126</v>
      </c>
      <c r="B92" s="7" t="s">
        <v>204</v>
      </c>
      <c r="C92" s="8">
        <v>2016.7102</v>
      </c>
      <c r="D92" s="8">
        <v>0</v>
      </c>
      <c r="E92" s="8">
        <v>4246.183</v>
      </c>
    </row>
    <row r="93" spans="1:5">
      <c r="A93" s="7" t="s">
        <v>205</v>
      </c>
      <c r="B93" s="7" t="s">
        <v>204</v>
      </c>
      <c r="C93" s="8">
        <v>468.029</v>
      </c>
      <c r="D93" s="8">
        <v>0</v>
      </c>
      <c r="E93" s="8">
        <v>3778.154</v>
      </c>
    </row>
    <row r="94" spans="1:5">
      <c r="A94" s="7" t="s">
        <v>206</v>
      </c>
      <c r="B94" s="7" t="s">
        <v>207</v>
      </c>
      <c r="C94" s="8">
        <v>15.93</v>
      </c>
      <c r="D94" s="8">
        <v>0</v>
      </c>
      <c r="E94" s="8">
        <v>3762.2240000000002</v>
      </c>
    </row>
    <row r="95" spans="1:5">
      <c r="A95" s="7" t="s">
        <v>208</v>
      </c>
      <c r="B95" s="7" t="s">
        <v>207</v>
      </c>
      <c r="C95" s="8">
        <v>5.3784999999999998</v>
      </c>
      <c r="D95" s="8">
        <v>0</v>
      </c>
      <c r="E95" s="8">
        <v>3756.8456000000001</v>
      </c>
    </row>
    <row r="96" spans="1:5">
      <c r="A96" s="7" t="s">
        <v>126</v>
      </c>
      <c r="B96" s="7" t="s">
        <v>207</v>
      </c>
      <c r="C96" s="8">
        <v>0</v>
      </c>
      <c r="D96" s="8">
        <v>146.93629999999999</v>
      </c>
      <c r="E96" s="8">
        <v>3903.7818000000002</v>
      </c>
    </row>
    <row r="97" spans="1:5">
      <c r="A97" s="7" t="s">
        <v>209</v>
      </c>
      <c r="B97" s="7" t="s">
        <v>210</v>
      </c>
      <c r="C97" s="8">
        <v>707.03909999999996</v>
      </c>
      <c r="D97" s="8">
        <v>0</v>
      </c>
      <c r="E97" s="8">
        <v>3196.7426999999998</v>
      </c>
    </row>
    <row r="98" spans="1:5">
      <c r="A98" s="7" t="s">
        <v>126</v>
      </c>
      <c r="B98" s="7" t="s">
        <v>210</v>
      </c>
      <c r="C98" s="8">
        <v>674.22050000000002</v>
      </c>
      <c r="D98" s="8">
        <v>0</v>
      </c>
      <c r="E98" s="8">
        <v>2522.5221999999999</v>
      </c>
    </row>
    <row r="99" spans="1:5">
      <c r="A99" s="7" t="s">
        <v>114</v>
      </c>
      <c r="B99" s="7" t="s">
        <v>210</v>
      </c>
      <c r="C99" s="8">
        <v>10.62</v>
      </c>
      <c r="D99" s="8">
        <v>0</v>
      </c>
      <c r="E99" s="8">
        <v>7511.9022000000004</v>
      </c>
    </row>
    <row r="100" spans="1:5">
      <c r="A100" s="7" t="s">
        <v>114</v>
      </c>
      <c r="B100" s="7" t="s">
        <v>211</v>
      </c>
      <c r="C100" s="8">
        <v>10.62</v>
      </c>
      <c r="D100" s="8">
        <v>0</v>
      </c>
      <c r="E100" s="8">
        <v>23127.605</v>
      </c>
    </row>
    <row r="101" spans="1:5">
      <c r="A101" s="7" t="s">
        <v>126</v>
      </c>
      <c r="B101" s="7" t="s">
        <v>211</v>
      </c>
      <c r="C101" s="8">
        <v>0</v>
      </c>
      <c r="D101" s="8">
        <v>258.17020000000002</v>
      </c>
      <c r="E101" s="8">
        <v>23385.7752</v>
      </c>
    </row>
    <row r="102" spans="1:5">
      <c r="A102" s="7" t="s">
        <v>126</v>
      </c>
      <c r="B102" s="7" t="s">
        <v>212</v>
      </c>
      <c r="C102" s="8">
        <v>0</v>
      </c>
      <c r="D102" s="8">
        <v>626.32280000000003</v>
      </c>
      <c r="E102" s="8">
        <v>8138.2250000000004</v>
      </c>
    </row>
    <row r="103" spans="1:5">
      <c r="A103" s="7" t="s">
        <v>126</v>
      </c>
      <c r="B103" s="7" t="s">
        <v>213</v>
      </c>
      <c r="C103" s="8">
        <v>2082.4223000000002</v>
      </c>
      <c r="D103" s="8">
        <v>0</v>
      </c>
      <c r="E103" s="8">
        <v>21303.352800000001</v>
      </c>
    </row>
    <row r="104" spans="1:5">
      <c r="A104" s="7" t="s">
        <v>214</v>
      </c>
      <c r="B104" s="7" t="s">
        <v>213</v>
      </c>
      <c r="C104" s="8">
        <v>3800.0083</v>
      </c>
      <c r="D104" s="8">
        <v>0</v>
      </c>
      <c r="E104" s="8">
        <v>17503.344499999999</v>
      </c>
    </row>
    <row r="105" spans="1:5">
      <c r="A105" s="7" t="s">
        <v>126</v>
      </c>
      <c r="B105" s="7" t="s">
        <v>215</v>
      </c>
      <c r="C105" s="8">
        <v>470.95249999999999</v>
      </c>
      <c r="D105" s="8">
        <v>0</v>
      </c>
      <c r="E105" s="8">
        <v>17032.392</v>
      </c>
    </row>
    <row r="106" spans="1:5">
      <c r="A106" s="7" t="s">
        <v>216</v>
      </c>
      <c r="B106" s="7" t="s">
        <v>215</v>
      </c>
      <c r="C106" s="8">
        <v>6373.6805000000004</v>
      </c>
      <c r="D106" s="8">
        <v>0</v>
      </c>
      <c r="E106" s="8">
        <v>10658.711499999999</v>
      </c>
    </row>
    <row r="107" spans="1:5">
      <c r="A107" s="7" t="s">
        <v>217</v>
      </c>
      <c r="B107" s="7" t="s">
        <v>218</v>
      </c>
      <c r="C107" s="8">
        <v>15.93</v>
      </c>
      <c r="D107" s="8">
        <v>0</v>
      </c>
      <c r="E107" s="8">
        <v>10642.781499999999</v>
      </c>
    </row>
    <row r="108" spans="1:5">
      <c r="A108" s="7" t="s">
        <v>219</v>
      </c>
      <c r="B108" s="7" t="s">
        <v>218</v>
      </c>
      <c r="C108" s="8">
        <v>15.93</v>
      </c>
      <c r="D108" s="8">
        <v>0</v>
      </c>
      <c r="E108" s="8">
        <v>10626.851500000001</v>
      </c>
    </row>
    <row r="109" spans="1:5">
      <c r="A109" s="7" t="s">
        <v>220</v>
      </c>
      <c r="B109" s="7" t="s">
        <v>218</v>
      </c>
      <c r="C109" s="8">
        <v>15.93</v>
      </c>
      <c r="D109" s="8">
        <v>0</v>
      </c>
      <c r="E109" s="8">
        <v>10610.9215</v>
      </c>
    </row>
    <row r="110" spans="1:5">
      <c r="A110" s="7" t="s">
        <v>221</v>
      </c>
      <c r="B110" s="7" t="s">
        <v>218</v>
      </c>
      <c r="C110" s="8">
        <v>15.93</v>
      </c>
      <c r="D110" s="8">
        <v>0</v>
      </c>
      <c r="E110" s="8">
        <v>10594.9915</v>
      </c>
    </row>
    <row r="111" spans="1:5">
      <c r="A111" s="7" t="s">
        <v>222</v>
      </c>
      <c r="B111" s="7" t="s">
        <v>218</v>
      </c>
      <c r="C111" s="8">
        <v>15.93</v>
      </c>
      <c r="D111" s="8">
        <v>0</v>
      </c>
      <c r="E111" s="8">
        <v>10579.0615</v>
      </c>
    </row>
    <row r="112" spans="1:5">
      <c r="A112" s="7" t="s">
        <v>223</v>
      </c>
      <c r="B112" s="7" t="s">
        <v>218</v>
      </c>
      <c r="C112" s="8">
        <v>15.93</v>
      </c>
      <c r="D112" s="8">
        <v>0</v>
      </c>
      <c r="E112" s="8">
        <v>10563.1315</v>
      </c>
    </row>
    <row r="113" spans="1:5">
      <c r="A113" s="7" t="s">
        <v>224</v>
      </c>
      <c r="B113" s="7" t="s">
        <v>218</v>
      </c>
      <c r="C113" s="8">
        <v>0</v>
      </c>
      <c r="D113" s="8">
        <v>4912.7662</v>
      </c>
      <c r="E113" s="8">
        <v>15475.8977</v>
      </c>
    </row>
    <row r="114" spans="1:5">
      <c r="A114" s="7" t="s">
        <v>126</v>
      </c>
      <c r="B114" s="7" t="s">
        <v>218</v>
      </c>
      <c r="C114" s="8">
        <v>3106.8434999999999</v>
      </c>
      <c r="D114" s="8">
        <v>0</v>
      </c>
      <c r="E114" s="8">
        <v>12369.054099999999</v>
      </c>
    </row>
    <row r="115" spans="1:5">
      <c r="A115" s="7" t="s">
        <v>114</v>
      </c>
      <c r="B115" s="7" t="s">
        <v>225</v>
      </c>
      <c r="C115" s="8">
        <v>10.62</v>
      </c>
      <c r="D115" s="8">
        <v>0</v>
      </c>
      <c r="E115" s="8">
        <v>14902.4341</v>
      </c>
    </row>
    <row r="116" spans="1:5">
      <c r="A116" s="7" t="s">
        <v>126</v>
      </c>
      <c r="B116" s="7" t="s">
        <v>225</v>
      </c>
      <c r="C116" s="8">
        <v>0</v>
      </c>
      <c r="D116" s="8">
        <v>432.09109999999998</v>
      </c>
      <c r="E116" s="8">
        <v>15334.5252</v>
      </c>
    </row>
    <row r="117" spans="1:5">
      <c r="A117" s="7" t="s">
        <v>126</v>
      </c>
      <c r="B117" s="7" t="s">
        <v>226</v>
      </c>
      <c r="C117" s="8">
        <v>0</v>
      </c>
      <c r="D117" s="8">
        <v>114.18380000000001</v>
      </c>
      <c r="E117" s="8">
        <v>15448.7091</v>
      </c>
    </row>
    <row r="118" spans="1:5">
      <c r="A118" s="7" t="s">
        <v>227</v>
      </c>
      <c r="B118" s="7" t="s">
        <v>226</v>
      </c>
      <c r="C118" s="8">
        <v>1607.0646999999999</v>
      </c>
      <c r="D118" s="8">
        <v>0</v>
      </c>
      <c r="E118" s="8">
        <v>13841.644399999999</v>
      </c>
    </row>
    <row r="119" spans="1:5">
      <c r="A119" s="7" t="s">
        <v>228</v>
      </c>
      <c r="B119" s="7" t="s">
        <v>229</v>
      </c>
      <c r="C119" s="8">
        <v>15.93</v>
      </c>
      <c r="D119" s="8">
        <v>0</v>
      </c>
      <c r="E119" s="8">
        <v>13825.714400000001</v>
      </c>
    </row>
    <row r="120" spans="1:5">
      <c r="A120" s="7" t="s">
        <v>230</v>
      </c>
      <c r="B120" s="7" t="s">
        <v>229</v>
      </c>
      <c r="C120" s="8">
        <v>15.93</v>
      </c>
      <c r="D120" s="8">
        <v>0</v>
      </c>
      <c r="E120" s="8">
        <v>13809.7844</v>
      </c>
    </row>
    <row r="121" spans="1:5">
      <c r="A121" s="7" t="s">
        <v>126</v>
      </c>
      <c r="B121" s="7" t="s">
        <v>229</v>
      </c>
      <c r="C121" s="8">
        <v>0</v>
      </c>
      <c r="D121" s="8">
        <v>871.62630000000001</v>
      </c>
      <c r="E121" s="8">
        <v>14681.4107</v>
      </c>
    </row>
    <row r="122" spans="1:5">
      <c r="A122" s="7" t="s">
        <v>231</v>
      </c>
      <c r="B122" s="7" t="s">
        <v>229</v>
      </c>
      <c r="C122" s="8">
        <v>0</v>
      </c>
      <c r="D122" s="8">
        <v>1475.7992999999999</v>
      </c>
      <c r="E122" s="8">
        <v>16157.2099</v>
      </c>
    </row>
    <row r="123" spans="1:5">
      <c r="A123" s="7" t="s">
        <v>126</v>
      </c>
      <c r="B123" s="7" t="s">
        <v>232</v>
      </c>
      <c r="C123" s="8">
        <v>8216.7371999999996</v>
      </c>
      <c r="D123" s="8">
        <v>0</v>
      </c>
      <c r="E123" s="8">
        <v>7940.4727999999996</v>
      </c>
    </row>
    <row r="124" spans="1:5">
      <c r="A124" s="7" t="s">
        <v>126</v>
      </c>
      <c r="B124" s="7" t="s">
        <v>233</v>
      </c>
      <c r="C124" s="8">
        <v>0</v>
      </c>
      <c r="D124" s="8">
        <v>2936.355</v>
      </c>
      <c r="E124" s="8">
        <v>10876.827799999999</v>
      </c>
    </row>
    <row r="125" spans="1:5">
      <c r="A125" s="7" t="s">
        <v>234</v>
      </c>
      <c r="B125" s="7" t="s">
        <v>233</v>
      </c>
      <c r="C125" s="8">
        <v>0</v>
      </c>
      <c r="D125" s="8">
        <v>8.6084999999999994</v>
      </c>
      <c r="E125" s="8">
        <v>10885.436299999999</v>
      </c>
    </row>
    <row r="126" spans="1:5">
      <c r="A126" s="7" t="s">
        <v>126</v>
      </c>
      <c r="B126" s="7" t="s">
        <v>235</v>
      </c>
      <c r="C126" s="8">
        <v>612.30269999999996</v>
      </c>
      <c r="D126" s="8">
        <v>0</v>
      </c>
      <c r="E126" s="8">
        <v>10273.1335</v>
      </c>
    </row>
    <row r="127" spans="1:5">
      <c r="A127" s="7" t="s">
        <v>236</v>
      </c>
      <c r="B127" s="7" t="s">
        <v>235</v>
      </c>
      <c r="C127" s="8">
        <v>1045.7962</v>
      </c>
      <c r="D127" s="8">
        <v>0</v>
      </c>
      <c r="E127" s="8">
        <v>9227.3372999999992</v>
      </c>
    </row>
    <row r="128" spans="1:5">
      <c r="A128" s="7" t="s">
        <v>126</v>
      </c>
      <c r="B128" s="7" t="s">
        <v>237</v>
      </c>
      <c r="C128" s="8">
        <v>0</v>
      </c>
      <c r="D128" s="8">
        <v>2651.8771999999999</v>
      </c>
      <c r="E128" s="8">
        <v>11879.214599999999</v>
      </c>
    </row>
    <row r="129" spans="1:5">
      <c r="A129" s="7" t="s">
        <v>126</v>
      </c>
      <c r="B129" s="7" t="s">
        <v>238</v>
      </c>
      <c r="C129" s="8">
        <v>0</v>
      </c>
      <c r="D129" s="8">
        <v>942.38940000000002</v>
      </c>
      <c r="E129" s="8">
        <v>12821.603999999999</v>
      </c>
    </row>
    <row r="130" spans="1:5">
      <c r="A130" s="7" t="s">
        <v>126</v>
      </c>
      <c r="B130" s="7" t="s">
        <v>239</v>
      </c>
      <c r="C130" s="8">
        <v>3124.1246000000001</v>
      </c>
      <c r="D130" s="8">
        <v>0</v>
      </c>
      <c r="E130" s="8">
        <v>9697.4793000000009</v>
      </c>
    </row>
    <row r="131" spans="1:5">
      <c r="A131" s="7" t="s">
        <v>240</v>
      </c>
      <c r="B131" s="7" t="s">
        <v>241</v>
      </c>
      <c r="C131" s="8">
        <v>15.93</v>
      </c>
      <c r="D131" s="8">
        <v>0</v>
      </c>
      <c r="E131" s="8">
        <v>9681.5493000000006</v>
      </c>
    </row>
    <row r="132" spans="1:5">
      <c r="A132" s="7" t="s">
        <v>242</v>
      </c>
      <c r="B132" s="7" t="s">
        <v>241</v>
      </c>
      <c r="C132" s="8">
        <v>15.93</v>
      </c>
      <c r="D132" s="8">
        <v>0</v>
      </c>
      <c r="E132" s="8">
        <v>9665.6193000000003</v>
      </c>
    </row>
    <row r="133" spans="1:5">
      <c r="A133" s="7" t="s">
        <v>243</v>
      </c>
      <c r="B133" s="7" t="s">
        <v>241</v>
      </c>
      <c r="C133" s="8">
        <v>0</v>
      </c>
      <c r="D133" s="8">
        <v>3157.9657000000002</v>
      </c>
      <c r="E133" s="8">
        <v>12823.584999999999</v>
      </c>
    </row>
    <row r="134" spans="1:5">
      <c r="A134" s="7" t="s">
        <v>126</v>
      </c>
      <c r="B134" s="7" t="s">
        <v>241</v>
      </c>
      <c r="C134" s="8">
        <v>1259.3081999999999</v>
      </c>
      <c r="D134" s="8">
        <v>0</v>
      </c>
      <c r="E134" s="8">
        <v>11564.2768</v>
      </c>
    </row>
    <row r="135" spans="1:5">
      <c r="A135" s="7" t="s">
        <v>126</v>
      </c>
      <c r="B135" s="7" t="s">
        <v>244</v>
      </c>
      <c r="C135" s="8">
        <v>2025.0414000000001</v>
      </c>
      <c r="D135" s="8">
        <v>0</v>
      </c>
      <c r="E135" s="8">
        <v>9539.2353999999996</v>
      </c>
    </row>
    <row r="136" spans="1:5">
      <c r="A136" s="7" t="s">
        <v>245</v>
      </c>
      <c r="B136" s="7" t="s">
        <v>244</v>
      </c>
      <c r="C136" s="8">
        <v>0</v>
      </c>
      <c r="D136" s="8">
        <v>43.875500000000002</v>
      </c>
      <c r="E136" s="8">
        <v>9583.1110000000008</v>
      </c>
    </row>
    <row r="137" spans="1:5">
      <c r="A137" s="7" t="s">
        <v>246</v>
      </c>
      <c r="B137" s="7" t="s">
        <v>247</v>
      </c>
      <c r="C137" s="8">
        <v>123.2762</v>
      </c>
      <c r="D137" s="8">
        <v>0</v>
      </c>
      <c r="E137" s="8">
        <v>9459.8348000000005</v>
      </c>
    </row>
    <row r="138" spans="1:5">
      <c r="A138" s="7" t="s">
        <v>126</v>
      </c>
      <c r="B138" s="7" t="s">
        <v>247</v>
      </c>
      <c r="C138" s="8">
        <v>0</v>
      </c>
      <c r="D138" s="8">
        <v>2109.7988</v>
      </c>
      <c r="E138" s="8">
        <v>11569.633599999999</v>
      </c>
    </row>
    <row r="139" spans="1:5">
      <c r="A139" s="7" t="s">
        <v>126</v>
      </c>
      <c r="B139" s="7" t="s">
        <v>248</v>
      </c>
      <c r="C139" s="8">
        <v>8765.1026999999995</v>
      </c>
      <c r="D139" s="8">
        <v>0</v>
      </c>
      <c r="E139" s="8">
        <v>2804.5309000000002</v>
      </c>
    </row>
    <row r="140" spans="1:5">
      <c r="A140" s="7" t="s">
        <v>249</v>
      </c>
      <c r="B140" s="7" t="s">
        <v>248</v>
      </c>
      <c r="C140" s="8">
        <v>0</v>
      </c>
      <c r="D140" s="8">
        <v>251.91419999999999</v>
      </c>
      <c r="E140" s="8">
        <v>3056.4450999999999</v>
      </c>
    </row>
    <row r="141" spans="1:5">
      <c r="A141" s="7" t="s">
        <v>250</v>
      </c>
      <c r="B141" s="7" t="s">
        <v>251</v>
      </c>
      <c r="C141" s="8">
        <v>15.93</v>
      </c>
      <c r="D141" s="8">
        <v>0</v>
      </c>
      <c r="E141" s="8">
        <v>3040.5151000000001</v>
      </c>
    </row>
    <row r="142" spans="1:5">
      <c r="A142" s="7" t="s">
        <v>252</v>
      </c>
      <c r="B142" s="7" t="s">
        <v>251</v>
      </c>
      <c r="C142" s="8">
        <v>15.93</v>
      </c>
      <c r="D142" s="8">
        <v>0</v>
      </c>
      <c r="E142" s="8">
        <v>3024.5850999999998</v>
      </c>
    </row>
    <row r="143" spans="1:5">
      <c r="A143" s="7" t="s">
        <v>253</v>
      </c>
      <c r="B143" s="7" t="s">
        <v>251</v>
      </c>
      <c r="C143" s="8">
        <v>15.93</v>
      </c>
      <c r="D143" s="8">
        <v>0</v>
      </c>
      <c r="E143" s="8">
        <v>3008.6550999999999</v>
      </c>
    </row>
    <row r="144" spans="1:5">
      <c r="A144" s="7" t="s">
        <v>254</v>
      </c>
      <c r="B144" s="7" t="s">
        <v>251</v>
      </c>
      <c r="C144" s="8">
        <v>15.93</v>
      </c>
      <c r="D144" s="8">
        <v>0</v>
      </c>
      <c r="E144" s="8">
        <v>2992.7251000000001</v>
      </c>
    </row>
    <row r="145" spans="1:5">
      <c r="A145" s="7" t="s">
        <v>126</v>
      </c>
      <c r="B145" s="7" t="s">
        <v>251</v>
      </c>
      <c r="C145" s="8">
        <v>0</v>
      </c>
      <c r="D145" s="8">
        <v>1830.9622999999999</v>
      </c>
      <c r="E145" s="8">
        <v>4823.6873999999998</v>
      </c>
    </row>
    <row r="146" spans="1:5">
      <c r="A146" s="7" t="s">
        <v>255</v>
      </c>
      <c r="B146" s="7" t="s">
        <v>251</v>
      </c>
      <c r="C146" s="8">
        <v>0</v>
      </c>
      <c r="D146" s="8">
        <v>1850.067</v>
      </c>
      <c r="E146" s="8">
        <v>6673.7543999999998</v>
      </c>
    </row>
    <row r="147" spans="1:5">
      <c r="A147" s="7" t="s">
        <v>126</v>
      </c>
      <c r="B147" s="7" t="s">
        <v>256</v>
      </c>
      <c r="C147" s="8">
        <v>0</v>
      </c>
      <c r="D147" s="8">
        <v>162.3331</v>
      </c>
      <c r="E147" s="8">
        <v>6836.0874999999996</v>
      </c>
    </row>
    <row r="148" spans="1:5">
      <c r="A148" s="7" t="s">
        <v>126</v>
      </c>
      <c r="B148" s="7" t="s">
        <v>257</v>
      </c>
      <c r="C148" s="8">
        <v>0</v>
      </c>
      <c r="D148" s="8">
        <v>224.5692</v>
      </c>
      <c r="E148" s="8">
        <v>7060.6566999999995</v>
      </c>
    </row>
    <row r="149" spans="1:5">
      <c r="A149" s="7" t="s">
        <v>258</v>
      </c>
      <c r="B149" s="7" t="s">
        <v>257</v>
      </c>
      <c r="C149" s="8">
        <v>1461.3078</v>
      </c>
      <c r="D149" s="8">
        <v>0</v>
      </c>
      <c r="E149" s="8">
        <v>5599.3489</v>
      </c>
    </row>
    <row r="150" spans="1:5">
      <c r="A150" s="7" t="s">
        <v>114</v>
      </c>
      <c r="B150" s="7" t="s">
        <v>259</v>
      </c>
      <c r="C150" s="8">
        <v>10.62</v>
      </c>
      <c r="D150" s="8">
        <v>0</v>
      </c>
      <c r="E150" s="8">
        <v>8588.7289000000001</v>
      </c>
    </row>
    <row r="151" spans="1:5">
      <c r="A151" s="7" t="s">
        <v>126</v>
      </c>
      <c r="B151" s="7" t="s">
        <v>259</v>
      </c>
      <c r="C151" s="8">
        <v>0</v>
      </c>
      <c r="D151" s="8">
        <v>1626.1225999999999</v>
      </c>
      <c r="E151" s="8">
        <v>10214.851500000001</v>
      </c>
    </row>
    <row r="152" spans="1:5">
      <c r="A152" s="7" t="s">
        <v>260</v>
      </c>
      <c r="B152" s="7" t="s">
        <v>259</v>
      </c>
      <c r="C152" s="8">
        <v>0</v>
      </c>
      <c r="D152" s="8">
        <v>52.117400000000004</v>
      </c>
      <c r="E152" s="8">
        <v>10266.9689</v>
      </c>
    </row>
    <row r="153" spans="1:5">
      <c r="A153" s="7" t="s">
        <v>261</v>
      </c>
      <c r="B153" s="7" t="s">
        <v>262</v>
      </c>
      <c r="C153" s="8">
        <v>15.93</v>
      </c>
      <c r="D153" s="8">
        <v>0</v>
      </c>
      <c r="E153" s="8">
        <v>10251.0389</v>
      </c>
    </row>
    <row r="154" spans="1:5">
      <c r="A154" s="7" t="s">
        <v>263</v>
      </c>
      <c r="B154" s="7" t="s">
        <v>262</v>
      </c>
      <c r="C154" s="8">
        <v>15.93</v>
      </c>
      <c r="D154" s="8">
        <v>0</v>
      </c>
      <c r="E154" s="8">
        <v>10235.108899999999</v>
      </c>
    </row>
    <row r="155" spans="1:5">
      <c r="A155" s="7" t="s">
        <v>264</v>
      </c>
      <c r="B155" s="7" t="s">
        <v>262</v>
      </c>
      <c r="C155" s="8">
        <v>15.93</v>
      </c>
      <c r="D155" s="8">
        <v>0</v>
      </c>
      <c r="E155" s="8">
        <v>10219.178900000001</v>
      </c>
    </row>
    <row r="156" spans="1:5">
      <c r="A156" s="7" t="s">
        <v>126</v>
      </c>
      <c r="B156" s="7" t="s">
        <v>262</v>
      </c>
      <c r="C156" s="8">
        <v>2941.9074999999998</v>
      </c>
      <c r="D156" s="8">
        <v>0</v>
      </c>
      <c r="E156" s="8">
        <v>7277.2713999999996</v>
      </c>
    </row>
    <row r="157" spans="1:5">
      <c r="A157" s="7" t="s">
        <v>265</v>
      </c>
      <c r="B157" s="7" t="s">
        <v>262</v>
      </c>
      <c r="C157" s="8">
        <v>0</v>
      </c>
      <c r="D157" s="8">
        <v>991.94449999999995</v>
      </c>
      <c r="E157" s="8">
        <v>8269.2158999999992</v>
      </c>
    </row>
    <row r="158" spans="1:5">
      <c r="A158" s="7" t="s">
        <v>266</v>
      </c>
      <c r="B158" s="7" t="s">
        <v>267</v>
      </c>
      <c r="C158" s="8">
        <v>15.93</v>
      </c>
      <c r="D158" s="8">
        <v>0</v>
      </c>
      <c r="E158" s="8">
        <v>1253.2859000000001</v>
      </c>
    </row>
    <row r="159" spans="1:5">
      <c r="A159" s="7" t="s">
        <v>268</v>
      </c>
      <c r="B159" s="7" t="s">
        <v>267</v>
      </c>
      <c r="C159" s="8">
        <v>15.93</v>
      </c>
      <c r="D159" s="8">
        <v>0</v>
      </c>
      <c r="E159" s="8">
        <v>1237.3559</v>
      </c>
    </row>
    <row r="160" spans="1:5">
      <c r="A160" s="7" t="s">
        <v>269</v>
      </c>
      <c r="B160" s="7" t="s">
        <v>267</v>
      </c>
      <c r="C160" s="8">
        <v>15.93</v>
      </c>
      <c r="D160" s="8">
        <v>0</v>
      </c>
      <c r="E160" s="8">
        <v>1221.4259</v>
      </c>
    </row>
    <row r="161" spans="1:5">
      <c r="A161" s="7" t="s">
        <v>270</v>
      </c>
      <c r="B161" s="7" t="s">
        <v>267</v>
      </c>
      <c r="C161" s="8">
        <v>15.93</v>
      </c>
      <c r="D161" s="8">
        <v>0</v>
      </c>
      <c r="E161" s="8">
        <v>1205.4958999999999</v>
      </c>
    </row>
    <row r="162" spans="1:5">
      <c r="A162" s="7" t="s">
        <v>271</v>
      </c>
      <c r="B162" s="7" t="s">
        <v>267</v>
      </c>
      <c r="C162" s="8">
        <v>15.93</v>
      </c>
      <c r="D162" s="8">
        <v>0</v>
      </c>
      <c r="E162" s="8">
        <v>1189.5659000000001</v>
      </c>
    </row>
    <row r="163" spans="1:5">
      <c r="A163" s="7" t="s">
        <v>272</v>
      </c>
      <c r="B163" s="7" t="s">
        <v>267</v>
      </c>
      <c r="C163" s="8">
        <v>15.93</v>
      </c>
      <c r="D163" s="8">
        <v>0</v>
      </c>
      <c r="E163" s="8">
        <v>1173.6359</v>
      </c>
    </row>
    <row r="164" spans="1:5">
      <c r="A164" s="7" t="s">
        <v>273</v>
      </c>
      <c r="B164" s="7" t="s">
        <v>267</v>
      </c>
      <c r="C164" s="8">
        <v>15.93</v>
      </c>
      <c r="D164" s="8">
        <v>0</v>
      </c>
      <c r="E164" s="8">
        <v>1157.7058999999999</v>
      </c>
    </row>
    <row r="165" spans="1:5">
      <c r="A165" s="7" t="s">
        <v>274</v>
      </c>
      <c r="B165" s="7" t="s">
        <v>267</v>
      </c>
      <c r="C165" s="8">
        <v>15.93</v>
      </c>
      <c r="D165" s="8">
        <v>0</v>
      </c>
      <c r="E165" s="8">
        <v>1141.7759000000001</v>
      </c>
    </row>
    <row r="166" spans="1:5">
      <c r="A166" s="7" t="s">
        <v>275</v>
      </c>
      <c r="B166" s="7" t="s">
        <v>267</v>
      </c>
      <c r="C166" s="8">
        <v>15.93</v>
      </c>
      <c r="D166" s="8">
        <v>0</v>
      </c>
      <c r="E166" s="8">
        <v>1125.8459</v>
      </c>
    </row>
    <row r="167" spans="1:5">
      <c r="A167" s="7" t="s">
        <v>276</v>
      </c>
      <c r="B167" s="7" t="s">
        <v>267</v>
      </c>
      <c r="C167" s="8">
        <v>15.93</v>
      </c>
      <c r="D167" s="8">
        <v>0</v>
      </c>
      <c r="E167" s="8">
        <v>1109.9159</v>
      </c>
    </row>
    <row r="168" spans="1:5">
      <c r="A168" s="7" t="s">
        <v>114</v>
      </c>
      <c r="B168" s="7" t="s">
        <v>267</v>
      </c>
      <c r="C168" s="8">
        <v>10.62</v>
      </c>
      <c r="D168" s="8">
        <v>0</v>
      </c>
      <c r="E168" s="8">
        <v>10099.295899999999</v>
      </c>
    </row>
    <row r="169" spans="1:5">
      <c r="A169" s="7" t="s">
        <v>277</v>
      </c>
      <c r="B169" s="7" t="s">
        <v>267</v>
      </c>
      <c r="C169" s="8">
        <v>0</v>
      </c>
      <c r="D169" s="8">
        <v>3452.2532999999999</v>
      </c>
      <c r="E169" s="8">
        <v>13551.549199999999</v>
      </c>
    </row>
    <row r="170" spans="1:5">
      <c r="A170" s="7" t="s">
        <v>126</v>
      </c>
      <c r="B170" s="7" t="s">
        <v>267</v>
      </c>
      <c r="C170" s="8">
        <v>4641.9368000000004</v>
      </c>
      <c r="D170" s="8">
        <v>0</v>
      </c>
      <c r="E170" s="8">
        <v>8909.6124</v>
      </c>
    </row>
    <row r="171" spans="1:5">
      <c r="A171" s="7" t="s">
        <v>278</v>
      </c>
      <c r="B171" s="7" t="s">
        <v>279</v>
      </c>
      <c r="C171" s="8">
        <v>15.93</v>
      </c>
      <c r="D171" s="8">
        <v>0</v>
      </c>
      <c r="E171" s="8">
        <v>8893.6823999999997</v>
      </c>
    </row>
    <row r="172" spans="1:5">
      <c r="A172" s="7" t="s">
        <v>126</v>
      </c>
      <c r="B172" s="7" t="s">
        <v>279</v>
      </c>
      <c r="C172" s="8">
        <v>6351.1293999999998</v>
      </c>
      <c r="D172" s="8">
        <v>0</v>
      </c>
      <c r="E172" s="8">
        <v>2542.5531000000001</v>
      </c>
    </row>
    <row r="173" spans="1:5">
      <c r="A173" s="7" t="s">
        <v>280</v>
      </c>
      <c r="B173" s="7" t="s">
        <v>279</v>
      </c>
      <c r="C173" s="8">
        <v>0</v>
      </c>
      <c r="D173" s="8">
        <v>42.497100000000003</v>
      </c>
      <c r="E173" s="8">
        <v>2585.0500999999999</v>
      </c>
    </row>
    <row r="174" spans="1:5">
      <c r="A174" s="7" t="s">
        <v>114</v>
      </c>
      <c r="B174" s="7" t="s">
        <v>281</v>
      </c>
      <c r="C174" s="8">
        <v>10.62</v>
      </c>
      <c r="D174" s="8">
        <v>0</v>
      </c>
      <c r="E174" s="8">
        <v>10574.4301</v>
      </c>
    </row>
    <row r="175" spans="1:5">
      <c r="A175" s="7" t="s">
        <v>282</v>
      </c>
      <c r="B175" s="7" t="s">
        <v>281</v>
      </c>
      <c r="C175" s="8">
        <v>15.93</v>
      </c>
      <c r="D175" s="8">
        <v>0</v>
      </c>
      <c r="E175" s="8">
        <v>10558.500099999999</v>
      </c>
    </row>
    <row r="176" spans="1:5">
      <c r="A176" s="7" t="s">
        <v>283</v>
      </c>
      <c r="B176" s="7" t="s">
        <v>281</v>
      </c>
      <c r="C176" s="8">
        <v>15.93</v>
      </c>
      <c r="D176" s="8">
        <v>0</v>
      </c>
      <c r="E176" s="8">
        <v>10542.570100000001</v>
      </c>
    </row>
    <row r="177" spans="1:5">
      <c r="A177" s="7" t="s">
        <v>284</v>
      </c>
      <c r="B177" s="7" t="s">
        <v>281</v>
      </c>
      <c r="C177" s="8">
        <v>15.93</v>
      </c>
      <c r="D177" s="8">
        <v>0</v>
      </c>
      <c r="E177" s="8">
        <v>10526.640100000001</v>
      </c>
    </row>
    <row r="178" spans="1:5">
      <c r="A178" s="7" t="s">
        <v>285</v>
      </c>
      <c r="B178" s="7" t="s">
        <v>281</v>
      </c>
      <c r="C178" s="8">
        <v>15.93</v>
      </c>
      <c r="D178" s="8">
        <v>0</v>
      </c>
      <c r="E178" s="8">
        <v>10510.7101</v>
      </c>
    </row>
    <row r="179" spans="1:5">
      <c r="A179" s="7" t="s">
        <v>286</v>
      </c>
      <c r="B179" s="7" t="s">
        <v>281</v>
      </c>
      <c r="C179" s="8">
        <v>15.93</v>
      </c>
      <c r="D179" s="8">
        <v>0</v>
      </c>
      <c r="E179" s="8">
        <v>10494.7801</v>
      </c>
    </row>
    <row r="180" spans="1:5">
      <c r="A180" s="7" t="s">
        <v>287</v>
      </c>
      <c r="B180" s="7" t="s">
        <v>281</v>
      </c>
      <c r="C180" s="8">
        <v>15.93</v>
      </c>
      <c r="D180" s="8">
        <v>0</v>
      </c>
      <c r="E180" s="8">
        <v>10478.8501</v>
      </c>
    </row>
    <row r="181" spans="1:5">
      <c r="A181" s="7" t="s">
        <v>288</v>
      </c>
      <c r="B181" s="7" t="s">
        <v>281</v>
      </c>
      <c r="C181" s="8">
        <v>15.93</v>
      </c>
      <c r="D181" s="8">
        <v>0</v>
      </c>
      <c r="E181" s="8">
        <v>10462.920099999999</v>
      </c>
    </row>
    <row r="182" spans="1:5">
      <c r="A182" s="7" t="s">
        <v>289</v>
      </c>
      <c r="B182" s="7" t="s">
        <v>281</v>
      </c>
      <c r="C182" s="8">
        <v>15.93</v>
      </c>
      <c r="D182" s="8">
        <v>0</v>
      </c>
      <c r="E182" s="8">
        <v>10446.990100000001</v>
      </c>
    </row>
    <row r="183" spans="1:5">
      <c r="A183" s="7" t="s">
        <v>290</v>
      </c>
      <c r="B183" s="7" t="s">
        <v>281</v>
      </c>
      <c r="C183" s="8">
        <v>15.93</v>
      </c>
      <c r="D183" s="8">
        <v>0</v>
      </c>
      <c r="E183" s="8">
        <v>10431.060100000001</v>
      </c>
    </row>
    <row r="184" spans="1:5">
      <c r="A184" s="7" t="s">
        <v>291</v>
      </c>
      <c r="B184" s="7" t="s">
        <v>281</v>
      </c>
      <c r="C184" s="8">
        <v>15.93</v>
      </c>
      <c r="D184" s="8">
        <v>0</v>
      </c>
      <c r="E184" s="8">
        <v>10415.1301</v>
      </c>
    </row>
    <row r="185" spans="1:5">
      <c r="A185" s="7" t="s">
        <v>292</v>
      </c>
      <c r="B185" s="7" t="s">
        <v>281</v>
      </c>
      <c r="C185" s="8">
        <v>15.93</v>
      </c>
      <c r="D185" s="8">
        <v>0</v>
      </c>
      <c r="E185" s="8">
        <v>10399.2001</v>
      </c>
    </row>
    <row r="186" spans="1:5">
      <c r="A186" s="7" t="s">
        <v>126</v>
      </c>
      <c r="B186" s="7" t="s">
        <v>281</v>
      </c>
      <c r="C186" s="8">
        <v>2723.1051000000002</v>
      </c>
      <c r="D186" s="8">
        <v>0</v>
      </c>
      <c r="E186" s="8">
        <v>7676.0950000000003</v>
      </c>
    </row>
    <row r="187" spans="1:5">
      <c r="A187" s="7" t="s">
        <v>293</v>
      </c>
      <c r="B187" s="7" t="s">
        <v>281</v>
      </c>
      <c r="C187" s="8">
        <v>0</v>
      </c>
      <c r="D187" s="8">
        <v>1343.2842000000001</v>
      </c>
      <c r="E187" s="8">
        <v>9019.3791999999994</v>
      </c>
    </row>
    <row r="188" spans="1:5">
      <c r="A188" s="7" t="s">
        <v>126</v>
      </c>
      <c r="B188" s="7" t="s">
        <v>294</v>
      </c>
      <c r="C188" s="8">
        <v>4819.9196000000002</v>
      </c>
      <c r="D188" s="8">
        <v>0</v>
      </c>
      <c r="E188" s="8">
        <v>4199.4596000000001</v>
      </c>
    </row>
    <row r="189" spans="1:5">
      <c r="A189" s="7" t="s">
        <v>295</v>
      </c>
      <c r="B189" s="7" t="s">
        <v>294</v>
      </c>
      <c r="C189" s="8">
        <v>56.978700000000003</v>
      </c>
      <c r="D189" s="8">
        <v>0</v>
      </c>
      <c r="E189" s="8">
        <v>4142.4808000000003</v>
      </c>
    </row>
    <row r="190" spans="1:5">
      <c r="A190" s="7" t="s">
        <v>126</v>
      </c>
      <c r="B190" s="7" t="s">
        <v>296</v>
      </c>
      <c r="C190" s="8">
        <v>546.82759999999996</v>
      </c>
      <c r="D190" s="8">
        <v>0</v>
      </c>
      <c r="E190" s="8">
        <v>3595.6532999999999</v>
      </c>
    </row>
    <row r="191" spans="1:5">
      <c r="A191" s="7" t="s">
        <v>297</v>
      </c>
      <c r="B191" s="7" t="s">
        <v>296</v>
      </c>
      <c r="C191" s="8">
        <v>23.707899999999999</v>
      </c>
      <c r="D191" s="8">
        <v>0</v>
      </c>
      <c r="E191" s="8">
        <v>3571.9454000000001</v>
      </c>
    </row>
    <row r="192" spans="1:5">
      <c r="A192" s="7" t="s">
        <v>126</v>
      </c>
      <c r="B192" s="7" t="s">
        <v>298</v>
      </c>
      <c r="C192" s="8">
        <v>0</v>
      </c>
      <c r="D192" s="8">
        <v>24</v>
      </c>
      <c r="E192" s="8">
        <v>3595.9452999999999</v>
      </c>
    </row>
    <row r="193" spans="1:5">
      <c r="A193" s="7" t="s">
        <v>126</v>
      </c>
      <c r="B193" s="7" t="s">
        <v>299</v>
      </c>
      <c r="C193" s="8">
        <v>751.053</v>
      </c>
      <c r="D193" s="8">
        <v>0</v>
      </c>
      <c r="E193" s="8">
        <v>2844.8923</v>
      </c>
    </row>
    <row r="194" spans="1:5">
      <c r="A194" s="7" t="s">
        <v>300</v>
      </c>
      <c r="B194" s="7" t="s">
        <v>299</v>
      </c>
      <c r="C194" s="8">
        <v>2445.0934999999999</v>
      </c>
      <c r="D194" s="8">
        <v>0</v>
      </c>
      <c r="E194" s="8">
        <v>399.79880000000003</v>
      </c>
    </row>
    <row r="195" spans="1:5">
      <c r="A195" s="7" t="s">
        <v>301</v>
      </c>
      <c r="B195" s="7" t="s">
        <v>302</v>
      </c>
      <c r="C195" s="8">
        <v>1.5304</v>
      </c>
      <c r="D195" s="8">
        <v>0</v>
      </c>
      <c r="E195" s="8">
        <v>398.26839999999999</v>
      </c>
    </row>
    <row r="196" spans="1:5">
      <c r="A196" s="7" t="s">
        <v>126</v>
      </c>
      <c r="B196" s="7" t="s">
        <v>302</v>
      </c>
      <c r="C196" s="8">
        <v>32.571100000000001</v>
      </c>
      <c r="D196" s="8">
        <v>0</v>
      </c>
      <c r="E196" s="8">
        <v>365.69729999999998</v>
      </c>
    </row>
    <row r="197" spans="1:5">
      <c r="A197" s="7" t="s">
        <v>303</v>
      </c>
      <c r="B197" s="7" t="s">
        <v>304</v>
      </c>
      <c r="C197" s="8">
        <v>0</v>
      </c>
      <c r="D197" s="8">
        <v>16.142199999999999</v>
      </c>
      <c r="E197" s="8">
        <v>381.83940000000001</v>
      </c>
    </row>
    <row r="198" spans="1:5">
      <c r="A198" s="7" t="s">
        <v>305</v>
      </c>
      <c r="B198" s="7" t="s">
        <v>306</v>
      </c>
      <c r="C198" s="8">
        <v>98.8399</v>
      </c>
      <c r="D198" s="8">
        <v>0</v>
      </c>
      <c r="E198" s="8">
        <v>282.99959999999999</v>
      </c>
    </row>
    <row r="199" spans="1:5">
      <c r="A199" s="7" t="s">
        <v>307</v>
      </c>
      <c r="B199" s="7" t="s">
        <v>308</v>
      </c>
      <c r="C199" s="8">
        <v>0</v>
      </c>
      <c r="D199" s="8">
        <v>6.3521000000000001</v>
      </c>
      <c r="E199" s="8">
        <v>289.35169999999999</v>
      </c>
    </row>
    <row r="200" spans="1:5">
      <c r="A200" s="7" t="s">
        <v>309</v>
      </c>
      <c r="B200" s="7" t="s">
        <v>310</v>
      </c>
      <c r="C200" s="8">
        <v>14.265700000000001</v>
      </c>
      <c r="D200" s="8">
        <v>0</v>
      </c>
      <c r="E200" s="8">
        <v>275.08600000000001</v>
      </c>
    </row>
    <row r="201" spans="1:5">
      <c r="A201" s="7" t="s">
        <v>311</v>
      </c>
      <c r="B201" s="7" t="s">
        <v>312</v>
      </c>
      <c r="C201" s="8">
        <v>0.31</v>
      </c>
      <c r="D201" s="8">
        <v>0</v>
      </c>
      <c r="E201" s="8">
        <v>274.77600000000001</v>
      </c>
    </row>
    <row r="202" spans="1:5">
      <c r="A202" s="7" t="s">
        <v>126</v>
      </c>
      <c r="B202" s="7" t="s">
        <v>313</v>
      </c>
      <c r="C202" s="8">
        <v>173.5282</v>
      </c>
      <c r="D202" s="8">
        <v>0</v>
      </c>
      <c r="E202" s="8">
        <v>101.2478</v>
      </c>
    </row>
    <row r="203" spans="1:5">
      <c r="A203" s="7" t="s">
        <v>314</v>
      </c>
      <c r="B203" s="7" t="s">
        <v>315</v>
      </c>
      <c r="C203" s="8">
        <v>15.93</v>
      </c>
      <c r="D203" s="8">
        <v>0</v>
      </c>
      <c r="E203" s="8">
        <v>85.317800000000005</v>
      </c>
    </row>
    <row r="204" spans="1:5">
      <c r="A204" s="7" t="s">
        <v>316</v>
      </c>
      <c r="B204" s="7" t="s">
        <v>315</v>
      </c>
      <c r="C204" s="8">
        <v>0</v>
      </c>
      <c r="D204" s="8">
        <v>818.95399999999995</v>
      </c>
      <c r="E204" s="8">
        <v>904.27179999999998</v>
      </c>
    </row>
    <row r="205" spans="1:5">
      <c r="A205" s="7" t="s">
        <v>311</v>
      </c>
      <c r="B205" s="7" t="s">
        <v>317</v>
      </c>
      <c r="C205" s="8">
        <v>0.16</v>
      </c>
      <c r="D205" s="8">
        <v>0</v>
      </c>
      <c r="E205" s="8">
        <v>904.11180000000002</v>
      </c>
    </row>
    <row r="206" spans="1:5">
      <c r="A206" s="7" t="s">
        <v>114</v>
      </c>
      <c r="B206" s="7" t="s">
        <v>318</v>
      </c>
      <c r="C206" s="8">
        <v>10.62</v>
      </c>
      <c r="D206" s="8">
        <v>0</v>
      </c>
      <c r="E206" s="8">
        <v>10893.4918</v>
      </c>
    </row>
    <row r="207" spans="1:5">
      <c r="A207" s="7" t="s">
        <v>126</v>
      </c>
      <c r="B207" s="7" t="s">
        <v>319</v>
      </c>
      <c r="C207" s="8">
        <v>381.02179999999998</v>
      </c>
      <c r="D207" s="8">
        <v>0</v>
      </c>
      <c r="E207" s="8">
        <v>10512.47</v>
      </c>
    </row>
    <row r="208" spans="1:5">
      <c r="A208" s="7" t="s">
        <v>126</v>
      </c>
      <c r="B208" s="7" t="s">
        <v>320</v>
      </c>
      <c r="C208" s="8">
        <v>1544.3465000000001</v>
      </c>
      <c r="D208" s="8">
        <v>0</v>
      </c>
      <c r="E208" s="8">
        <v>8968.1236000000008</v>
      </c>
    </row>
    <row r="209" spans="1:5">
      <c r="A209" s="7" t="s">
        <v>126</v>
      </c>
      <c r="B209" s="7" t="s">
        <v>321</v>
      </c>
      <c r="C209" s="8">
        <v>0</v>
      </c>
      <c r="D209" s="8">
        <v>354.40170000000001</v>
      </c>
      <c r="E209" s="8">
        <v>9322.5252</v>
      </c>
    </row>
    <row r="210" spans="1:5">
      <c r="A210" s="7" t="s">
        <v>322</v>
      </c>
      <c r="B210" s="7" t="s">
        <v>323</v>
      </c>
      <c r="C210" s="8">
        <v>15.93</v>
      </c>
      <c r="D210" s="8">
        <v>0</v>
      </c>
      <c r="E210" s="8">
        <v>9306.5951999999997</v>
      </c>
    </row>
    <row r="211" spans="1:5">
      <c r="A211" s="7" t="s">
        <v>126</v>
      </c>
      <c r="B211" s="7" t="s">
        <v>323</v>
      </c>
      <c r="C211" s="8">
        <v>900.30650000000003</v>
      </c>
      <c r="D211" s="8">
        <v>0</v>
      </c>
      <c r="E211" s="8">
        <v>8406.2888000000003</v>
      </c>
    </row>
    <row r="212" spans="1:5">
      <c r="A212" s="7" t="s">
        <v>324</v>
      </c>
      <c r="B212" s="7" t="s">
        <v>323</v>
      </c>
      <c r="C212" s="8">
        <v>0</v>
      </c>
      <c r="D212" s="8">
        <v>942.94880000000001</v>
      </c>
      <c r="E212" s="8">
        <v>9349.2376000000004</v>
      </c>
    </row>
    <row r="213" spans="1:5">
      <c r="A213" s="7" t="s">
        <v>126</v>
      </c>
      <c r="B213" s="7" t="s">
        <v>325</v>
      </c>
      <c r="C213" s="8">
        <v>0</v>
      </c>
      <c r="D213" s="8">
        <v>546.25429999999994</v>
      </c>
      <c r="E213" s="8">
        <v>9895.4919000000009</v>
      </c>
    </row>
    <row r="214" spans="1:5">
      <c r="A214" s="7" t="s">
        <v>326</v>
      </c>
      <c r="B214" s="7" t="s">
        <v>325</v>
      </c>
      <c r="C214" s="8">
        <v>0</v>
      </c>
      <c r="D214" s="8">
        <v>608.96780000000001</v>
      </c>
      <c r="E214" s="8">
        <v>10504.459699999999</v>
      </c>
    </row>
    <row r="215" spans="1:5">
      <c r="A215" s="7" t="s">
        <v>327</v>
      </c>
      <c r="B215" s="7" t="s">
        <v>325</v>
      </c>
      <c r="C215" s="8">
        <v>15.93</v>
      </c>
      <c r="D215" s="8">
        <v>0</v>
      </c>
      <c r="E215" s="8">
        <v>10488.529699999999</v>
      </c>
    </row>
    <row r="216" spans="1:5">
      <c r="A216" s="7" t="s">
        <v>126</v>
      </c>
      <c r="B216" s="7" t="s">
        <v>328</v>
      </c>
      <c r="C216" s="8">
        <v>0</v>
      </c>
      <c r="D216" s="8">
        <v>900.89660000000003</v>
      </c>
      <c r="E216" s="8">
        <v>11389.4262</v>
      </c>
    </row>
    <row r="217" spans="1:5">
      <c r="A217" s="7" t="s">
        <v>126</v>
      </c>
      <c r="B217" s="7" t="s">
        <v>329</v>
      </c>
      <c r="C217" s="8">
        <v>3229.3886000000002</v>
      </c>
      <c r="D217" s="8">
        <v>0</v>
      </c>
      <c r="E217" s="8">
        <v>8160.0375999999997</v>
      </c>
    </row>
    <row r="218" spans="1:5">
      <c r="A218" s="7" t="s">
        <v>126</v>
      </c>
      <c r="B218" s="7" t="s">
        <v>330</v>
      </c>
      <c r="C218" s="8">
        <v>0</v>
      </c>
      <c r="D218" s="8">
        <v>445.78879999999998</v>
      </c>
      <c r="E218" s="8">
        <v>8605.8263999999999</v>
      </c>
    </row>
    <row r="219" spans="1:5">
      <c r="A219" s="7" t="s">
        <v>126</v>
      </c>
      <c r="B219" s="7" t="s">
        <v>331</v>
      </c>
      <c r="C219" s="8">
        <v>664.98940000000005</v>
      </c>
      <c r="D219" s="8">
        <v>0</v>
      </c>
      <c r="E219" s="8">
        <v>7940.8370000000004</v>
      </c>
    </row>
    <row r="220" spans="1:5">
      <c r="A220" s="7" t="s">
        <v>126</v>
      </c>
      <c r="B220" s="7" t="s">
        <v>332</v>
      </c>
      <c r="C220" s="8">
        <v>632.13829999999996</v>
      </c>
      <c r="D220" s="8">
        <v>0</v>
      </c>
      <c r="E220" s="8">
        <v>7308.6986999999999</v>
      </c>
    </row>
    <row r="221" spans="1:5">
      <c r="A221" s="7" t="s">
        <v>126</v>
      </c>
      <c r="B221" s="7" t="s">
        <v>333</v>
      </c>
      <c r="C221" s="8">
        <v>0</v>
      </c>
      <c r="D221" s="8">
        <v>1208.2039</v>
      </c>
      <c r="E221" s="8">
        <v>8516.9025999999994</v>
      </c>
    </row>
    <row r="222" spans="1:5">
      <c r="A222" s="7" t="s">
        <v>126</v>
      </c>
      <c r="B222" s="7" t="s">
        <v>334</v>
      </c>
      <c r="C222" s="8">
        <v>144.80369999999999</v>
      </c>
      <c r="D222" s="8">
        <v>0</v>
      </c>
      <c r="E222" s="8">
        <v>8372.0990000000002</v>
      </c>
    </row>
    <row r="223" spans="1:5">
      <c r="A223" s="7" t="s">
        <v>126</v>
      </c>
      <c r="B223" s="7" t="s">
        <v>335</v>
      </c>
      <c r="C223" s="8">
        <v>0</v>
      </c>
      <c r="D223" s="8">
        <v>92.190700000000007</v>
      </c>
      <c r="E223" s="8">
        <v>8464.2896999999994</v>
      </c>
    </row>
    <row r="224" spans="1:5">
      <c r="A224" s="7" t="s">
        <v>126</v>
      </c>
      <c r="B224" s="7" t="s">
        <v>336</v>
      </c>
      <c r="C224" s="8">
        <v>0</v>
      </c>
      <c r="D224" s="8">
        <v>941.63639999999998</v>
      </c>
      <c r="E224" s="8">
        <v>9405.9259999999995</v>
      </c>
    </row>
    <row r="225" spans="1:5">
      <c r="A225" s="7" t="s">
        <v>126</v>
      </c>
      <c r="B225" s="7" t="s">
        <v>337</v>
      </c>
      <c r="C225" s="8">
        <v>159.3509</v>
      </c>
      <c r="D225" s="8">
        <v>0</v>
      </c>
      <c r="E225" s="8">
        <v>9246.5751999999993</v>
      </c>
    </row>
    <row r="226" spans="1:5">
      <c r="A226" s="7" t="s">
        <v>126</v>
      </c>
      <c r="B226" s="7" t="s">
        <v>338</v>
      </c>
      <c r="C226" s="8">
        <v>5108.9721</v>
      </c>
      <c r="D226" s="8">
        <v>0</v>
      </c>
      <c r="E226" s="8">
        <v>4137.6030000000001</v>
      </c>
    </row>
    <row r="227" spans="1:5">
      <c r="A227" s="7" t="s">
        <v>114</v>
      </c>
      <c r="B227" s="7" t="s">
        <v>339</v>
      </c>
      <c r="C227" s="8">
        <v>10.62</v>
      </c>
      <c r="D227" s="8">
        <v>0</v>
      </c>
      <c r="E227" s="8">
        <v>8126.9830000000002</v>
      </c>
    </row>
    <row r="228" spans="1:5">
      <c r="A228" s="7" t="s">
        <v>126</v>
      </c>
      <c r="B228" s="7" t="s">
        <v>339</v>
      </c>
      <c r="C228" s="8">
        <v>4265.8041000000003</v>
      </c>
      <c r="D228" s="8">
        <v>0</v>
      </c>
      <c r="E228" s="8">
        <v>3861.1788999999999</v>
      </c>
    </row>
    <row r="229" spans="1:5">
      <c r="A229" s="7" t="s">
        <v>114</v>
      </c>
      <c r="B229" s="7" t="s">
        <v>340</v>
      </c>
      <c r="C229" s="8">
        <v>10.62</v>
      </c>
      <c r="D229" s="8">
        <v>0</v>
      </c>
      <c r="E229" s="8">
        <v>7850.5589</v>
      </c>
    </row>
    <row r="230" spans="1:5">
      <c r="A230" s="7" t="s">
        <v>126</v>
      </c>
      <c r="B230" s="7" t="s">
        <v>340</v>
      </c>
      <c r="C230" s="8">
        <v>3616.1235000000001</v>
      </c>
      <c r="D230" s="8">
        <v>0</v>
      </c>
      <c r="E230" s="8">
        <v>4234.4354000000003</v>
      </c>
    </row>
    <row r="231" spans="1:5">
      <c r="A231" s="7" t="s">
        <v>126</v>
      </c>
      <c r="B231" s="7" t="s">
        <v>341</v>
      </c>
      <c r="C231" s="8">
        <v>0</v>
      </c>
      <c r="D231" s="8">
        <v>317.87740000000002</v>
      </c>
      <c r="E231" s="8">
        <v>4552.3127999999997</v>
      </c>
    </row>
    <row r="232" spans="1:5">
      <c r="A232" s="7" t="s">
        <v>126</v>
      </c>
      <c r="B232" s="7" t="s">
        <v>342</v>
      </c>
      <c r="C232" s="8">
        <v>0</v>
      </c>
      <c r="D232" s="8">
        <v>442.76769999999999</v>
      </c>
      <c r="E232" s="8">
        <v>4995.0805</v>
      </c>
    </row>
    <row r="233" spans="1:5">
      <c r="A233" s="7" t="s">
        <v>126</v>
      </c>
      <c r="B233" s="7" t="s">
        <v>343</v>
      </c>
      <c r="C233" s="8">
        <v>399.13630000000001</v>
      </c>
      <c r="D233" s="8">
        <v>0</v>
      </c>
      <c r="E233" s="8">
        <v>4595.9441999999999</v>
      </c>
    </row>
    <row r="234" spans="1:5">
      <c r="A234" s="7" t="s">
        <v>126</v>
      </c>
      <c r="B234" s="7" t="s">
        <v>344</v>
      </c>
      <c r="C234" s="8">
        <v>0</v>
      </c>
      <c r="D234" s="8">
        <v>405.52879999999999</v>
      </c>
      <c r="E234" s="8">
        <v>5001.473</v>
      </c>
    </row>
    <row r="235" spans="1:5">
      <c r="A235" s="7" t="s">
        <v>345</v>
      </c>
      <c r="B235" s="7" t="s">
        <v>346</v>
      </c>
      <c r="C235" s="8">
        <v>1317.1527000000001</v>
      </c>
      <c r="D235" s="8">
        <v>0</v>
      </c>
      <c r="E235" s="8">
        <v>3684.3202999999999</v>
      </c>
    </row>
    <row r="236" spans="1:5">
      <c r="A236" s="7" t="s">
        <v>345</v>
      </c>
      <c r="B236" s="7" t="s">
        <v>347</v>
      </c>
      <c r="C236" s="8">
        <v>1291.2873</v>
      </c>
      <c r="D236" s="8">
        <v>0</v>
      </c>
      <c r="E236" s="8">
        <v>2393.0329999999999</v>
      </c>
    </row>
    <row r="237" spans="1:5">
      <c r="A237" s="7" t="s">
        <v>345</v>
      </c>
      <c r="B237" s="7" t="s">
        <v>348</v>
      </c>
      <c r="C237" s="8">
        <v>337.10739999999998</v>
      </c>
      <c r="D237" s="8">
        <v>0</v>
      </c>
      <c r="E237" s="8">
        <v>2055.9256</v>
      </c>
    </row>
    <row r="238" spans="1:5">
      <c r="A238" s="7" t="s">
        <v>349</v>
      </c>
      <c r="B238" s="7" t="s">
        <v>348</v>
      </c>
      <c r="C238" s="8">
        <v>0</v>
      </c>
      <c r="D238" s="8">
        <v>4.7453000000000003</v>
      </c>
      <c r="E238" s="8">
        <v>2060.6709000000001</v>
      </c>
    </row>
    <row r="239" spans="1:5">
      <c r="A239" s="7" t="s">
        <v>345</v>
      </c>
      <c r="B239" s="7" t="s">
        <v>350</v>
      </c>
      <c r="C239" s="8">
        <v>0</v>
      </c>
      <c r="D239" s="8">
        <v>273.72969999999998</v>
      </c>
      <c r="E239" s="8">
        <v>2334.4005999999999</v>
      </c>
    </row>
    <row r="240" spans="1:5">
      <c r="A240" s="7" t="s">
        <v>345</v>
      </c>
      <c r="B240" s="7" t="s">
        <v>351</v>
      </c>
      <c r="C240" s="8">
        <v>0</v>
      </c>
      <c r="D240" s="8">
        <v>264.13470000000001</v>
      </c>
      <c r="E240" s="8">
        <v>2598.5353</v>
      </c>
    </row>
    <row r="241" spans="1:5">
      <c r="A241" s="7" t="s">
        <v>345</v>
      </c>
      <c r="B241" s="7" t="s">
        <v>352</v>
      </c>
      <c r="C241" s="8">
        <v>693.43870000000004</v>
      </c>
      <c r="D241" s="8">
        <v>0</v>
      </c>
      <c r="E241" s="8">
        <v>1905.0966000000001</v>
      </c>
    </row>
    <row r="242" spans="1:5">
      <c r="A242" s="7" t="s">
        <v>345</v>
      </c>
      <c r="B242" s="7" t="s">
        <v>353</v>
      </c>
      <c r="C242" s="8">
        <v>540.36670000000004</v>
      </c>
      <c r="D242" s="8">
        <v>0</v>
      </c>
      <c r="E242" s="8">
        <v>1364.7299</v>
      </c>
    </row>
    <row r="243" spans="1:5">
      <c r="A243" s="7" t="s">
        <v>345</v>
      </c>
      <c r="B243" s="7" t="s">
        <v>354</v>
      </c>
      <c r="C243" s="8">
        <v>359.02170000000001</v>
      </c>
      <c r="D243" s="8">
        <v>0</v>
      </c>
      <c r="E243" s="8">
        <v>1005.7082</v>
      </c>
    </row>
    <row r="244" spans="1:5">
      <c r="A244" s="7" t="s">
        <v>355</v>
      </c>
      <c r="B244" s="7" t="s">
        <v>354</v>
      </c>
      <c r="C244" s="8">
        <v>1052.2470000000001</v>
      </c>
      <c r="D244" s="8">
        <v>0</v>
      </c>
      <c r="E244" s="8">
        <v>-46.538800000000002</v>
      </c>
    </row>
    <row r="245" spans="1:5">
      <c r="A245" s="7" t="s">
        <v>356</v>
      </c>
      <c r="B245" s="7" t="s">
        <v>357</v>
      </c>
      <c r="C245" s="8">
        <v>0</v>
      </c>
      <c r="D245" s="8">
        <v>1116.7508</v>
      </c>
      <c r="E245" s="8">
        <v>1070.212</v>
      </c>
    </row>
    <row r="246" spans="1:5">
      <c r="A246" s="7" t="s">
        <v>345</v>
      </c>
      <c r="B246" s="7" t="s">
        <v>358</v>
      </c>
      <c r="C246" s="8">
        <v>98.421499999999995</v>
      </c>
      <c r="D246" s="8">
        <v>0</v>
      </c>
      <c r="E246" s="8">
        <v>971.79049999999995</v>
      </c>
    </row>
    <row r="247" spans="1:5">
      <c r="A247" s="7" t="s">
        <v>359</v>
      </c>
      <c r="B247" s="7" t="s">
        <v>358</v>
      </c>
      <c r="C247" s="8">
        <v>15.93</v>
      </c>
      <c r="D247" s="8">
        <v>0</v>
      </c>
      <c r="E247" s="8">
        <v>955.8605</v>
      </c>
    </row>
    <row r="248" spans="1:5">
      <c r="A248" s="7" t="s">
        <v>360</v>
      </c>
      <c r="B248" s="7" t="s">
        <v>358</v>
      </c>
      <c r="C248" s="8">
        <v>581.03120000000001</v>
      </c>
      <c r="D248" s="8">
        <v>0</v>
      </c>
      <c r="E248" s="8">
        <v>374.82929999999999</v>
      </c>
    </row>
    <row r="249" spans="1:5">
      <c r="A249" s="7" t="s">
        <v>361</v>
      </c>
      <c r="B249" s="7" t="s">
        <v>362</v>
      </c>
      <c r="C249" s="8">
        <v>341.1232</v>
      </c>
      <c r="D249" s="8">
        <v>0</v>
      </c>
      <c r="E249" s="8">
        <v>33.706099999999999</v>
      </c>
    </row>
    <row r="250" spans="1:5">
      <c r="A250" s="7" t="s">
        <v>114</v>
      </c>
      <c r="B250" s="7" t="s">
        <v>363</v>
      </c>
      <c r="C250" s="8">
        <v>10.62</v>
      </c>
      <c r="D250" s="8">
        <v>0</v>
      </c>
      <c r="E250" s="8">
        <v>553.08609999999999</v>
      </c>
    </row>
    <row r="251" spans="1:5">
      <c r="A251" s="7" t="s">
        <v>364</v>
      </c>
      <c r="B251" s="7" t="s">
        <v>363</v>
      </c>
      <c r="C251" s="8">
        <v>15.93</v>
      </c>
      <c r="D251" s="8">
        <v>0</v>
      </c>
      <c r="E251" s="8">
        <v>537.15610000000004</v>
      </c>
    </row>
    <row r="252" spans="1:5">
      <c r="A252" s="7" t="s">
        <v>365</v>
      </c>
      <c r="B252" s="7" t="s">
        <v>363</v>
      </c>
      <c r="C252" s="8">
        <v>0</v>
      </c>
      <c r="D252" s="8">
        <v>386.97210000000001</v>
      </c>
      <c r="E252" s="8">
        <v>924.12819999999999</v>
      </c>
    </row>
    <row r="253" spans="1:5">
      <c r="A253" s="7" t="s">
        <v>345</v>
      </c>
      <c r="B253" s="7" t="s">
        <v>366</v>
      </c>
      <c r="C253" s="8">
        <v>0.61160000000000003</v>
      </c>
      <c r="D253" s="8">
        <v>0</v>
      </c>
      <c r="E253" s="8">
        <v>10923.516600000001</v>
      </c>
    </row>
    <row r="254" spans="1:5">
      <c r="A254" s="7" t="s">
        <v>345</v>
      </c>
      <c r="B254" s="7" t="s">
        <v>367</v>
      </c>
      <c r="C254" s="8">
        <v>1417.6719000000001</v>
      </c>
      <c r="D254" s="8">
        <v>0</v>
      </c>
      <c r="E254" s="8">
        <v>9505.8446000000004</v>
      </c>
    </row>
    <row r="255" spans="1:5">
      <c r="A255" s="7" t="s">
        <v>368</v>
      </c>
      <c r="B255" s="7" t="s">
        <v>367</v>
      </c>
      <c r="C255" s="8">
        <v>1411.059</v>
      </c>
      <c r="D255" s="8">
        <v>0</v>
      </c>
      <c r="E255" s="8">
        <v>8094.7857000000004</v>
      </c>
    </row>
    <row r="256" spans="1:5">
      <c r="A256" s="7" t="s">
        <v>345</v>
      </c>
      <c r="B256" s="7" t="s">
        <v>369</v>
      </c>
      <c r="C256" s="8">
        <v>2061.2381999999998</v>
      </c>
      <c r="D256" s="8">
        <v>0</v>
      </c>
      <c r="E256" s="8">
        <v>6033.5474999999997</v>
      </c>
    </row>
    <row r="257" spans="1:5">
      <c r="A257" s="7" t="s">
        <v>345</v>
      </c>
      <c r="B257" s="7" t="s">
        <v>370</v>
      </c>
      <c r="C257" s="8">
        <v>501.08969999999999</v>
      </c>
      <c r="D257" s="8">
        <v>0</v>
      </c>
      <c r="E257" s="8">
        <v>5532.4578000000001</v>
      </c>
    </row>
    <row r="258" spans="1:5">
      <c r="A258" s="7" t="s">
        <v>114</v>
      </c>
      <c r="B258" s="7" t="s">
        <v>371</v>
      </c>
      <c r="C258" s="8">
        <v>10.62</v>
      </c>
      <c r="D258" s="8">
        <v>0</v>
      </c>
      <c r="E258" s="8">
        <v>15521.837799999999</v>
      </c>
    </row>
    <row r="259" spans="1:5">
      <c r="A259" s="7" t="s">
        <v>345</v>
      </c>
      <c r="B259" s="7" t="s">
        <v>371</v>
      </c>
      <c r="C259" s="8">
        <v>741.18460000000005</v>
      </c>
      <c r="D259" s="8">
        <v>0</v>
      </c>
      <c r="E259" s="8">
        <v>14780.6533</v>
      </c>
    </row>
    <row r="260" spans="1:5">
      <c r="A260" s="7" t="s">
        <v>372</v>
      </c>
      <c r="B260" s="7" t="s">
        <v>371</v>
      </c>
      <c r="C260" s="8">
        <v>5285.4512000000004</v>
      </c>
      <c r="D260" s="8">
        <v>0</v>
      </c>
      <c r="E260" s="8">
        <v>9495.2021000000004</v>
      </c>
    </row>
    <row r="261" spans="1:5">
      <c r="A261" s="7" t="s">
        <v>373</v>
      </c>
      <c r="B261" s="7" t="s">
        <v>374</v>
      </c>
      <c r="C261" s="8">
        <v>0</v>
      </c>
      <c r="D261" s="8">
        <v>5122.0536000000002</v>
      </c>
      <c r="E261" s="8">
        <v>14617.2557</v>
      </c>
    </row>
    <row r="262" spans="1:5">
      <c r="A262" s="7" t="s">
        <v>345</v>
      </c>
      <c r="B262" s="7" t="s">
        <v>374</v>
      </c>
      <c r="C262" s="8">
        <v>0</v>
      </c>
      <c r="D262" s="8">
        <v>684.58579999999995</v>
      </c>
      <c r="E262" s="8">
        <v>15301.8415</v>
      </c>
    </row>
    <row r="263" spans="1:5">
      <c r="A263" s="7" t="s">
        <v>375</v>
      </c>
      <c r="B263" s="7" t="s">
        <v>374</v>
      </c>
      <c r="C263" s="8">
        <v>15.93</v>
      </c>
      <c r="D263" s="8">
        <v>0</v>
      </c>
      <c r="E263" s="8">
        <v>15285.9115</v>
      </c>
    </row>
    <row r="264" spans="1:5">
      <c r="A264" s="7" t="s">
        <v>376</v>
      </c>
      <c r="B264" s="7" t="s">
        <v>377</v>
      </c>
      <c r="C264" s="8">
        <v>15.93</v>
      </c>
      <c r="D264" s="8">
        <v>0</v>
      </c>
      <c r="E264" s="8">
        <v>15269.9815</v>
      </c>
    </row>
    <row r="265" spans="1:5">
      <c r="A265" s="7" t="s">
        <v>378</v>
      </c>
      <c r="B265" s="7" t="s">
        <v>377</v>
      </c>
      <c r="C265" s="8">
        <v>15.93</v>
      </c>
      <c r="D265" s="8">
        <v>0</v>
      </c>
      <c r="E265" s="8">
        <v>15254.0515</v>
      </c>
    </row>
    <row r="266" spans="1:5">
      <c r="A266" s="7" t="s">
        <v>379</v>
      </c>
      <c r="B266" s="7" t="s">
        <v>377</v>
      </c>
      <c r="C266" s="8">
        <v>15.93</v>
      </c>
      <c r="D266" s="8">
        <v>0</v>
      </c>
      <c r="E266" s="8">
        <v>15238.121499999999</v>
      </c>
    </row>
    <row r="267" spans="1:5">
      <c r="A267" s="7" t="s">
        <v>345</v>
      </c>
      <c r="B267" s="7" t="s">
        <v>377</v>
      </c>
      <c r="C267" s="8">
        <v>0</v>
      </c>
      <c r="D267" s="8">
        <v>2480.2919000000002</v>
      </c>
      <c r="E267" s="8">
        <v>17718.413400000001</v>
      </c>
    </row>
    <row r="268" spans="1:5">
      <c r="A268" s="7" t="s">
        <v>345</v>
      </c>
      <c r="B268" s="7" t="s">
        <v>380</v>
      </c>
      <c r="C268" s="8">
        <v>8457.018</v>
      </c>
      <c r="D268" s="8">
        <v>0</v>
      </c>
      <c r="E268" s="8">
        <v>9261.3955000000005</v>
      </c>
    </row>
    <row r="269" spans="1:5">
      <c r="A269" s="7" t="s">
        <v>381</v>
      </c>
      <c r="B269" s="7" t="s">
        <v>380</v>
      </c>
      <c r="C269" s="8">
        <v>0</v>
      </c>
      <c r="D269" s="8">
        <v>1458.9394</v>
      </c>
      <c r="E269" s="8">
        <v>10720.334800000001</v>
      </c>
    </row>
    <row r="270" spans="1:5">
      <c r="A270" s="7" t="s">
        <v>382</v>
      </c>
      <c r="B270" s="7" t="s">
        <v>380</v>
      </c>
      <c r="C270" s="8">
        <v>15.93</v>
      </c>
      <c r="D270" s="8">
        <v>0</v>
      </c>
      <c r="E270" s="8">
        <v>10704.4048</v>
      </c>
    </row>
    <row r="271" spans="1:5">
      <c r="A271" s="7" t="s">
        <v>345</v>
      </c>
      <c r="B271" s="7" t="s">
        <v>383</v>
      </c>
      <c r="C271" s="8">
        <v>1343.2108000000001</v>
      </c>
      <c r="D271" s="8">
        <v>0</v>
      </c>
      <c r="E271" s="8">
        <v>9361.1941000000006</v>
      </c>
    </row>
    <row r="272" spans="1:5">
      <c r="A272" s="7" t="s">
        <v>345</v>
      </c>
      <c r="B272" s="7" t="s">
        <v>384</v>
      </c>
      <c r="C272" s="8">
        <v>1322.0691999999999</v>
      </c>
      <c r="D272" s="8">
        <v>0</v>
      </c>
      <c r="E272" s="8">
        <v>8039.1248999999998</v>
      </c>
    </row>
    <row r="273" spans="1:5">
      <c r="A273" s="7" t="s">
        <v>385</v>
      </c>
      <c r="B273" s="7" t="s">
        <v>386</v>
      </c>
      <c r="C273" s="8">
        <v>0</v>
      </c>
      <c r="D273" s="8">
        <v>838.95320000000004</v>
      </c>
      <c r="E273" s="8">
        <v>8878.0779999999995</v>
      </c>
    </row>
    <row r="274" spans="1:5">
      <c r="A274" s="7" t="s">
        <v>345</v>
      </c>
      <c r="B274" s="7" t="s">
        <v>386</v>
      </c>
      <c r="C274" s="8">
        <v>1781.3942</v>
      </c>
      <c r="D274" s="8">
        <v>0</v>
      </c>
      <c r="E274" s="8">
        <v>7096.6837999999998</v>
      </c>
    </row>
    <row r="275" spans="1:5">
      <c r="A275" s="7" t="s">
        <v>387</v>
      </c>
      <c r="B275" s="7" t="s">
        <v>386</v>
      </c>
      <c r="C275" s="8">
        <v>15.93</v>
      </c>
      <c r="D275" s="8">
        <v>0</v>
      </c>
      <c r="E275" s="8">
        <v>7080.7538000000004</v>
      </c>
    </row>
    <row r="276" spans="1:5">
      <c r="A276" s="7" t="s">
        <v>345</v>
      </c>
      <c r="B276" s="7" t="s">
        <v>388</v>
      </c>
      <c r="C276" s="8">
        <v>2715.8973999999998</v>
      </c>
      <c r="D276" s="8">
        <v>0</v>
      </c>
      <c r="E276" s="8">
        <v>4364.8564999999999</v>
      </c>
    </row>
    <row r="277" spans="1:5">
      <c r="A277" s="7" t="s">
        <v>345</v>
      </c>
      <c r="B277" s="7" t="s">
        <v>389</v>
      </c>
      <c r="C277" s="8">
        <v>0</v>
      </c>
      <c r="D277" s="8">
        <v>291.04520000000002</v>
      </c>
      <c r="E277" s="8">
        <v>4655.9016000000001</v>
      </c>
    </row>
    <row r="278" spans="1:5">
      <c r="A278" s="7" t="s">
        <v>345</v>
      </c>
      <c r="B278" s="7" t="s">
        <v>390</v>
      </c>
      <c r="C278" s="8">
        <v>1289.2646</v>
      </c>
      <c r="D278" s="8">
        <v>0</v>
      </c>
      <c r="E278" s="8">
        <v>3366.6370000000002</v>
      </c>
    </row>
    <row r="279" spans="1:5">
      <c r="A279" s="7" t="s">
        <v>345</v>
      </c>
      <c r="B279" s="7" t="s">
        <v>391</v>
      </c>
      <c r="C279" s="8">
        <v>319.4067</v>
      </c>
      <c r="D279" s="8">
        <v>0</v>
      </c>
      <c r="E279" s="8">
        <v>3047.2303000000002</v>
      </c>
    </row>
    <row r="280" spans="1:5">
      <c r="A280" s="7" t="s">
        <v>345</v>
      </c>
      <c r="B280" s="7" t="s">
        <v>392</v>
      </c>
      <c r="C280" s="8">
        <v>0</v>
      </c>
      <c r="D280" s="8">
        <v>394.06819999999999</v>
      </c>
      <c r="E280" s="8">
        <v>3441.2984999999999</v>
      </c>
    </row>
    <row r="281" spans="1:5">
      <c r="A281" s="7" t="s">
        <v>345</v>
      </c>
      <c r="B281" s="7" t="s">
        <v>393</v>
      </c>
      <c r="C281" s="8">
        <v>616.85910000000001</v>
      </c>
      <c r="D281" s="8">
        <v>0</v>
      </c>
      <c r="E281" s="8">
        <v>2824.4394000000002</v>
      </c>
    </row>
    <row r="282" spans="1:5">
      <c r="A282" s="7" t="s">
        <v>345</v>
      </c>
      <c r="B282" s="7" t="s">
        <v>394</v>
      </c>
      <c r="C282" s="8">
        <v>0</v>
      </c>
      <c r="D282" s="8">
        <v>198.2295</v>
      </c>
      <c r="E282" s="8">
        <v>3022.6689000000001</v>
      </c>
    </row>
    <row r="283" spans="1:5">
      <c r="A283" s="7" t="s">
        <v>345</v>
      </c>
      <c r="B283" s="7" t="s">
        <v>395</v>
      </c>
      <c r="C283" s="8">
        <v>0</v>
      </c>
      <c r="D283" s="8">
        <v>253.6635</v>
      </c>
      <c r="E283" s="8">
        <v>3276.3323999999998</v>
      </c>
    </row>
    <row r="284" spans="1:5">
      <c r="A284" s="7" t="s">
        <v>345</v>
      </c>
      <c r="B284" s="7" t="s">
        <v>396</v>
      </c>
      <c r="C284" s="8">
        <v>1695.7402999999999</v>
      </c>
      <c r="D284" s="8">
        <v>0</v>
      </c>
      <c r="E284" s="8">
        <v>1580.5921000000001</v>
      </c>
    </row>
    <row r="285" spans="1:5">
      <c r="A285" s="7" t="s">
        <v>345</v>
      </c>
      <c r="B285" s="7" t="s">
        <v>397</v>
      </c>
      <c r="C285" s="8">
        <v>1056.0251000000001</v>
      </c>
      <c r="D285" s="8">
        <v>0</v>
      </c>
      <c r="E285" s="8">
        <v>524.56700000000001</v>
      </c>
    </row>
    <row r="286" spans="1:5">
      <c r="A286" s="7" t="s">
        <v>345</v>
      </c>
      <c r="B286" s="7" t="s">
        <v>398</v>
      </c>
      <c r="C286" s="8">
        <v>21.712299999999999</v>
      </c>
      <c r="D286" s="8">
        <v>0</v>
      </c>
      <c r="E286" s="8">
        <v>502.85469999999998</v>
      </c>
    </row>
    <row r="287" spans="1:5">
      <c r="A287" s="7" t="s">
        <v>399</v>
      </c>
      <c r="B287" s="7" t="s">
        <v>400</v>
      </c>
      <c r="C287" s="8">
        <v>400.02519999999998</v>
      </c>
      <c r="D287" s="8">
        <v>0</v>
      </c>
      <c r="E287" s="8">
        <v>102.8295</v>
      </c>
    </row>
    <row r="288" spans="1:5">
      <c r="A288" s="7" t="s">
        <v>345</v>
      </c>
      <c r="B288" s="7" t="s">
        <v>401</v>
      </c>
      <c r="C288" s="8">
        <v>0</v>
      </c>
      <c r="D288" s="8">
        <v>320.08409999999998</v>
      </c>
      <c r="E288" s="8">
        <v>10422.9136</v>
      </c>
    </row>
    <row r="289" spans="1:5">
      <c r="A289" s="7" t="s">
        <v>345</v>
      </c>
      <c r="B289" s="7" t="s">
        <v>402</v>
      </c>
      <c r="C289" s="8">
        <v>0</v>
      </c>
      <c r="D289" s="8">
        <v>372.09160000000003</v>
      </c>
      <c r="E289" s="8">
        <v>10795.005300000001</v>
      </c>
    </row>
    <row r="290" spans="1:5">
      <c r="A290" s="7" t="s">
        <v>345</v>
      </c>
      <c r="B290" s="7" t="s">
        <v>403</v>
      </c>
      <c r="C290" s="8">
        <v>1224.8033</v>
      </c>
      <c r="D290" s="8">
        <v>0</v>
      </c>
      <c r="E290" s="8">
        <v>9570.2019999999993</v>
      </c>
    </row>
    <row r="291" spans="1:5">
      <c r="A291" s="7" t="s">
        <v>345</v>
      </c>
      <c r="B291" s="7" t="s">
        <v>404</v>
      </c>
      <c r="C291" s="8">
        <v>0</v>
      </c>
      <c r="D291" s="8">
        <v>238.02590000000001</v>
      </c>
      <c r="E291" s="8">
        <v>9808.2278999999999</v>
      </c>
    </row>
    <row r="292" spans="1:5">
      <c r="A292" s="7" t="s">
        <v>345</v>
      </c>
      <c r="B292" s="7" t="s">
        <v>405</v>
      </c>
      <c r="C292" s="8">
        <v>1023.4351</v>
      </c>
      <c r="D292" s="8">
        <v>0</v>
      </c>
      <c r="E292" s="8">
        <v>8784.7929000000004</v>
      </c>
    </row>
    <row r="293" spans="1:5">
      <c r="A293" s="9" t="s">
        <v>406</v>
      </c>
      <c r="B293" s="9" t="s">
        <v>405</v>
      </c>
      <c r="C293" s="10">
        <v>88.5</v>
      </c>
      <c r="D293" s="8">
        <v>0</v>
      </c>
      <c r="E293" s="8">
        <v>8696.2929000000004</v>
      </c>
    </row>
    <row r="294" spans="1:5">
      <c r="A294" s="7" t="s">
        <v>345</v>
      </c>
      <c r="B294" s="7" t="s">
        <v>407</v>
      </c>
      <c r="C294" s="8">
        <v>0</v>
      </c>
      <c r="D294" s="8">
        <v>28.844200000000001</v>
      </c>
      <c r="E294" s="8">
        <v>8725.1370000000006</v>
      </c>
    </row>
    <row r="295" spans="1:5">
      <c r="A295" s="7" t="s">
        <v>408</v>
      </c>
      <c r="B295" s="7" t="s">
        <v>409</v>
      </c>
      <c r="C295" s="8">
        <v>15.93</v>
      </c>
      <c r="D295" s="8">
        <v>0</v>
      </c>
      <c r="E295" s="8">
        <v>8709.2070000000003</v>
      </c>
    </row>
    <row r="296" spans="1:5">
      <c r="A296" s="7" t="s">
        <v>410</v>
      </c>
      <c r="B296" s="7" t="s">
        <v>409</v>
      </c>
      <c r="C296" s="8">
        <v>0</v>
      </c>
      <c r="D296" s="8">
        <v>415.47430000000003</v>
      </c>
      <c r="E296" s="8">
        <v>9124.6813999999995</v>
      </c>
    </row>
    <row r="297" spans="1:5">
      <c r="A297" s="7" t="s">
        <v>345</v>
      </c>
      <c r="B297" s="7" t="s">
        <v>409</v>
      </c>
      <c r="C297" s="8">
        <v>0</v>
      </c>
      <c r="D297" s="8">
        <v>566.89880000000005</v>
      </c>
      <c r="E297" s="8">
        <v>9691.5802000000003</v>
      </c>
    </row>
    <row r="298" spans="1:5">
      <c r="A298" s="7" t="s">
        <v>345</v>
      </c>
      <c r="B298" s="7" t="s">
        <v>411</v>
      </c>
      <c r="C298" s="8">
        <v>2575.4983000000002</v>
      </c>
      <c r="D298" s="8">
        <v>0</v>
      </c>
      <c r="E298" s="8">
        <v>7116.0817999999999</v>
      </c>
    </row>
    <row r="299" spans="1:5">
      <c r="A299" s="7" t="s">
        <v>345</v>
      </c>
      <c r="B299" s="7" t="s">
        <v>412</v>
      </c>
      <c r="C299" s="8">
        <v>0</v>
      </c>
      <c r="D299" s="8">
        <v>100.9439</v>
      </c>
      <c r="E299" s="8">
        <v>7217.0257000000001</v>
      </c>
    </row>
    <row r="300" spans="1:5">
      <c r="A300" s="7" t="s">
        <v>345</v>
      </c>
      <c r="B300" s="7" t="s">
        <v>413</v>
      </c>
      <c r="C300" s="8">
        <v>0</v>
      </c>
      <c r="D300" s="8">
        <v>338.98450000000003</v>
      </c>
      <c r="E300" s="8">
        <v>7556.0102999999999</v>
      </c>
    </row>
    <row r="301" spans="1:5">
      <c r="A301" s="7" t="s">
        <v>345</v>
      </c>
      <c r="B301" s="7" t="s">
        <v>414</v>
      </c>
      <c r="C301" s="8">
        <v>3544.7375999999999</v>
      </c>
      <c r="D301" s="8">
        <v>0</v>
      </c>
      <c r="E301" s="8">
        <v>4011.2727</v>
      </c>
    </row>
    <row r="302" spans="1:5">
      <c r="A302" s="7" t="s">
        <v>345</v>
      </c>
      <c r="B302" s="7" t="s">
        <v>415</v>
      </c>
      <c r="C302" s="8">
        <v>1133.3782000000001</v>
      </c>
      <c r="D302" s="8">
        <v>0</v>
      </c>
      <c r="E302" s="8">
        <v>2877.8944999999999</v>
      </c>
    </row>
    <row r="303" spans="1:5">
      <c r="A303" s="7" t="s">
        <v>345</v>
      </c>
      <c r="B303" s="7" t="s">
        <v>416</v>
      </c>
      <c r="C303" s="8">
        <v>0</v>
      </c>
      <c r="D303" s="8">
        <v>198.35480000000001</v>
      </c>
      <c r="E303" s="8">
        <v>3076.2492999999999</v>
      </c>
    </row>
    <row r="304" spans="1:5">
      <c r="A304" s="7" t="s">
        <v>345</v>
      </c>
      <c r="B304" s="7" t="s">
        <v>417</v>
      </c>
      <c r="C304" s="8">
        <v>0</v>
      </c>
      <c r="D304" s="8">
        <v>196.791</v>
      </c>
      <c r="E304" s="8">
        <v>3273.0403000000001</v>
      </c>
    </row>
    <row r="305" spans="1:5">
      <c r="A305" s="7" t="s">
        <v>345</v>
      </c>
      <c r="B305" s="7" t="s">
        <v>418</v>
      </c>
      <c r="C305" s="8">
        <v>0</v>
      </c>
      <c r="D305" s="8">
        <v>567.08140000000003</v>
      </c>
      <c r="E305" s="8">
        <v>3840.1217000000001</v>
      </c>
    </row>
    <row r="306" spans="1:5">
      <c r="A306" s="7" t="s">
        <v>114</v>
      </c>
      <c r="B306" s="7" t="s">
        <v>419</v>
      </c>
      <c r="C306" s="8">
        <v>10.62</v>
      </c>
      <c r="D306" s="8">
        <v>0</v>
      </c>
      <c r="E306" s="8">
        <v>4829.5016999999998</v>
      </c>
    </row>
    <row r="307" spans="1:5">
      <c r="A307" s="7" t="s">
        <v>345</v>
      </c>
      <c r="B307" s="7" t="s">
        <v>419</v>
      </c>
      <c r="C307" s="8">
        <v>296.76429999999999</v>
      </c>
      <c r="D307" s="8">
        <v>0</v>
      </c>
      <c r="E307" s="8">
        <v>4532.7374</v>
      </c>
    </row>
    <row r="308" spans="1:5">
      <c r="A308" s="7" t="s">
        <v>345</v>
      </c>
      <c r="B308" s="7" t="s">
        <v>420</v>
      </c>
      <c r="C308" s="8">
        <v>0</v>
      </c>
      <c r="D308" s="8">
        <v>554.44830000000002</v>
      </c>
      <c r="E308" s="8">
        <v>5087.1857</v>
      </c>
    </row>
    <row r="309" spans="1:5">
      <c r="A309" s="7" t="s">
        <v>345</v>
      </c>
      <c r="B309" s="7" t="s">
        <v>421</v>
      </c>
      <c r="C309" s="8">
        <v>0</v>
      </c>
      <c r="D309" s="8">
        <v>222.029</v>
      </c>
      <c r="E309" s="8">
        <v>5309.2147000000004</v>
      </c>
    </row>
    <row r="310" spans="1:5">
      <c r="A310" s="7" t="s">
        <v>345</v>
      </c>
      <c r="B310" s="7" t="s">
        <v>422</v>
      </c>
      <c r="C310" s="8">
        <v>0</v>
      </c>
      <c r="D310" s="8">
        <v>276.30279999999999</v>
      </c>
      <c r="E310" s="8">
        <v>5585.5174999999999</v>
      </c>
    </row>
    <row r="311" spans="1:5">
      <c r="A311" s="7" t="s">
        <v>114</v>
      </c>
      <c r="B311" s="7" t="s">
        <v>423</v>
      </c>
      <c r="C311" s="8">
        <v>10.62</v>
      </c>
      <c r="D311" s="8">
        <v>0</v>
      </c>
      <c r="E311" s="8">
        <v>10574.897499999999</v>
      </c>
    </row>
    <row r="312" spans="1:5">
      <c r="A312" s="7" t="s">
        <v>345</v>
      </c>
      <c r="B312" s="7" t="s">
        <v>423</v>
      </c>
      <c r="C312" s="8">
        <v>4097.2273999999998</v>
      </c>
      <c r="D312" s="8">
        <v>0</v>
      </c>
      <c r="E312" s="8">
        <v>6477.6701000000003</v>
      </c>
    </row>
    <row r="313" spans="1:5">
      <c r="A313" s="7" t="s">
        <v>345</v>
      </c>
      <c r="B313" s="7" t="s">
        <v>424</v>
      </c>
      <c r="C313" s="8">
        <v>2657.0421999999999</v>
      </c>
      <c r="D313" s="8">
        <v>0</v>
      </c>
      <c r="E313" s="8">
        <v>3820.6278000000002</v>
      </c>
    </row>
    <row r="314" spans="1:5">
      <c r="A314" s="7" t="s">
        <v>345</v>
      </c>
      <c r="B314" s="7" t="s">
        <v>425</v>
      </c>
      <c r="C314" s="8">
        <v>1491.8308999999999</v>
      </c>
      <c r="D314" s="8">
        <v>0</v>
      </c>
      <c r="E314" s="8">
        <v>2328.7968999999998</v>
      </c>
    </row>
    <row r="315" spans="1:5">
      <c r="A315" s="7" t="s">
        <v>345</v>
      </c>
      <c r="B315" s="7" t="s">
        <v>426</v>
      </c>
      <c r="C315" s="8">
        <v>0</v>
      </c>
      <c r="D315" s="8">
        <v>96.519900000000007</v>
      </c>
      <c r="E315" s="8">
        <v>2425.3168000000001</v>
      </c>
    </row>
    <row r="316" spans="1:5">
      <c r="A316" s="7" t="s">
        <v>345</v>
      </c>
      <c r="B316" s="7" t="s">
        <v>427</v>
      </c>
      <c r="C316" s="8">
        <v>1268.9544000000001</v>
      </c>
      <c r="D316" s="8">
        <v>0</v>
      </c>
      <c r="E316" s="8">
        <v>1156.3623</v>
      </c>
    </row>
    <row r="317" spans="1:5">
      <c r="A317" s="7" t="s">
        <v>345</v>
      </c>
      <c r="B317" s="7" t="s">
        <v>428</v>
      </c>
      <c r="C317" s="8">
        <v>2530.5185999999999</v>
      </c>
      <c r="D317" s="8">
        <v>0</v>
      </c>
      <c r="E317" s="8">
        <v>13625.843800000001</v>
      </c>
    </row>
    <row r="318" spans="1:5">
      <c r="A318" s="7" t="s">
        <v>429</v>
      </c>
      <c r="B318" s="7" t="s">
        <v>428</v>
      </c>
      <c r="C318" s="8">
        <v>1285.0547999999999</v>
      </c>
      <c r="D318" s="8">
        <v>0</v>
      </c>
      <c r="E318" s="8">
        <v>12340.789000000001</v>
      </c>
    </row>
    <row r="319" spans="1:5">
      <c r="A319" s="7" t="s">
        <v>345</v>
      </c>
      <c r="B319" s="7" t="s">
        <v>430</v>
      </c>
      <c r="C319" s="8">
        <v>2488.9416999999999</v>
      </c>
      <c r="D319" s="8">
        <v>0</v>
      </c>
      <c r="E319" s="8">
        <v>9851.8474000000006</v>
      </c>
    </row>
    <row r="320" spans="1:5">
      <c r="A320" s="7" t="s">
        <v>345</v>
      </c>
      <c r="B320" s="7" t="s">
        <v>431</v>
      </c>
      <c r="C320" s="8">
        <v>0</v>
      </c>
      <c r="D320" s="8">
        <v>821.89919999999995</v>
      </c>
      <c r="E320" s="8">
        <v>10673.7466</v>
      </c>
    </row>
    <row r="321" spans="1:5">
      <c r="A321" s="7" t="s">
        <v>432</v>
      </c>
      <c r="B321" s="7" t="s">
        <v>431</v>
      </c>
      <c r="C321" s="8">
        <v>0</v>
      </c>
      <c r="D321" s="8">
        <v>1.4172</v>
      </c>
      <c r="E321" s="8">
        <v>10675.1638</v>
      </c>
    </row>
    <row r="322" spans="1:5">
      <c r="A322" s="7" t="s">
        <v>345</v>
      </c>
      <c r="B322" s="7" t="s">
        <v>433</v>
      </c>
      <c r="C322" s="8">
        <v>1585.9612</v>
      </c>
      <c r="D322" s="8">
        <v>0</v>
      </c>
      <c r="E322" s="8">
        <v>9089.2024999999994</v>
      </c>
    </row>
    <row r="323" spans="1:5">
      <c r="A323" s="7" t="s">
        <v>345</v>
      </c>
      <c r="B323" s="7" t="s">
        <v>434</v>
      </c>
      <c r="C323" s="8">
        <v>4511.7849999999999</v>
      </c>
      <c r="D323" s="8">
        <v>0</v>
      </c>
      <c r="E323" s="8">
        <v>4577.4174999999996</v>
      </c>
    </row>
    <row r="324" spans="1:5">
      <c r="A324" s="7" t="s">
        <v>345</v>
      </c>
      <c r="B324" s="7" t="s">
        <v>435</v>
      </c>
      <c r="C324" s="8">
        <v>0</v>
      </c>
      <c r="D324" s="8">
        <v>685.44759999999997</v>
      </c>
      <c r="E324" s="8">
        <v>5262.8652000000002</v>
      </c>
    </row>
    <row r="325" spans="1:5">
      <c r="A325" s="7" t="s">
        <v>345</v>
      </c>
      <c r="B325" s="7" t="s">
        <v>436</v>
      </c>
      <c r="C325" s="8">
        <v>575.14250000000004</v>
      </c>
      <c r="D325" s="8">
        <v>0</v>
      </c>
      <c r="E325" s="8">
        <v>4687.7226000000001</v>
      </c>
    </row>
    <row r="326" spans="1:5">
      <c r="A326" s="7" t="s">
        <v>345</v>
      </c>
      <c r="B326" s="7" t="s">
        <v>437</v>
      </c>
      <c r="C326" s="8">
        <v>469.99790000000002</v>
      </c>
      <c r="D326" s="8">
        <v>0</v>
      </c>
      <c r="E326" s="8">
        <v>4217.7246999999998</v>
      </c>
    </row>
    <row r="327" spans="1:5">
      <c r="A327" s="7" t="s">
        <v>438</v>
      </c>
      <c r="B327" s="7" t="s">
        <v>439</v>
      </c>
      <c r="C327" s="8">
        <v>15.93</v>
      </c>
      <c r="D327" s="8">
        <v>0</v>
      </c>
      <c r="E327" s="8">
        <v>4201.7947000000004</v>
      </c>
    </row>
    <row r="328" spans="1:5">
      <c r="A328" s="7" t="s">
        <v>345</v>
      </c>
      <c r="B328" s="7" t="s">
        <v>439</v>
      </c>
      <c r="C328" s="8">
        <v>2635.3631999999998</v>
      </c>
      <c r="D328" s="8">
        <v>0</v>
      </c>
      <c r="E328" s="8">
        <v>1566.4314999999999</v>
      </c>
    </row>
    <row r="329" spans="1:5">
      <c r="A329" s="7" t="s">
        <v>440</v>
      </c>
      <c r="B329" s="7" t="s">
        <v>439</v>
      </c>
      <c r="C329" s="8">
        <v>0</v>
      </c>
      <c r="D329" s="8">
        <v>1083.9519</v>
      </c>
      <c r="E329" s="8">
        <v>2650.3834000000002</v>
      </c>
    </row>
    <row r="330" spans="1:5">
      <c r="A330" s="7" t="s">
        <v>345</v>
      </c>
      <c r="B330" s="7" t="s">
        <v>441</v>
      </c>
      <c r="C330" s="8">
        <v>0</v>
      </c>
      <c r="D330" s="8">
        <v>23.957899999999999</v>
      </c>
      <c r="E330" s="8">
        <v>2674.3413</v>
      </c>
    </row>
    <row r="331" spans="1:5">
      <c r="A331" s="7" t="s">
        <v>345</v>
      </c>
      <c r="B331" s="7" t="s">
        <v>442</v>
      </c>
      <c r="C331" s="8">
        <v>0</v>
      </c>
      <c r="D331" s="8">
        <v>401.8125</v>
      </c>
      <c r="E331" s="8">
        <v>3076.1538999999998</v>
      </c>
    </row>
    <row r="332" spans="1:5">
      <c r="A332" s="9" t="s">
        <v>443</v>
      </c>
      <c r="B332" s="9" t="s">
        <v>442</v>
      </c>
      <c r="C332" s="10">
        <v>88.5</v>
      </c>
      <c r="D332" s="8">
        <v>0</v>
      </c>
      <c r="E332" s="8">
        <v>2987.6538999999998</v>
      </c>
    </row>
    <row r="333" spans="1:5">
      <c r="A333" s="7" t="s">
        <v>444</v>
      </c>
      <c r="B333" s="7" t="s">
        <v>445</v>
      </c>
      <c r="C333" s="8">
        <v>59</v>
      </c>
      <c r="D333" s="8">
        <v>0</v>
      </c>
      <c r="E333" s="8">
        <v>2928.6538999999998</v>
      </c>
    </row>
    <row r="334" spans="1:5">
      <c r="A334" s="7" t="s">
        <v>345</v>
      </c>
      <c r="B334" s="7" t="s">
        <v>445</v>
      </c>
      <c r="C334" s="8">
        <v>640.73109999999997</v>
      </c>
      <c r="D334" s="8">
        <v>0</v>
      </c>
      <c r="E334" s="8">
        <v>2287.9227999999998</v>
      </c>
    </row>
    <row r="335" spans="1:5">
      <c r="A335" s="7" t="s">
        <v>345</v>
      </c>
      <c r="B335" s="7" t="s">
        <v>446</v>
      </c>
      <c r="C335" s="8">
        <v>277.99470000000002</v>
      </c>
      <c r="D335" s="8">
        <v>0</v>
      </c>
      <c r="E335" s="8">
        <v>2009.9281000000001</v>
      </c>
    </row>
    <row r="336" spans="1:5">
      <c r="A336" s="7" t="s">
        <v>345</v>
      </c>
      <c r="B336" s="7" t="s">
        <v>447</v>
      </c>
      <c r="C336" s="8">
        <v>0</v>
      </c>
      <c r="D336" s="8">
        <v>199.41970000000001</v>
      </c>
      <c r="E336" s="8">
        <v>2209.3478</v>
      </c>
    </row>
    <row r="337" spans="1:5">
      <c r="A337" s="7" t="s">
        <v>448</v>
      </c>
      <c r="B337" s="7" t="s">
        <v>449</v>
      </c>
      <c r="C337" s="8">
        <v>1008.0454999999999</v>
      </c>
      <c r="D337" s="8">
        <v>0</v>
      </c>
      <c r="E337" s="8">
        <v>1201.3023000000001</v>
      </c>
    </row>
    <row r="338" spans="1:5">
      <c r="A338" s="7" t="s">
        <v>345</v>
      </c>
      <c r="B338" s="7" t="s">
        <v>449</v>
      </c>
      <c r="C338" s="8">
        <v>0</v>
      </c>
      <c r="D338" s="8">
        <v>777.17269999999996</v>
      </c>
      <c r="E338" s="8">
        <v>1978.4749999999999</v>
      </c>
    </row>
    <row r="339" spans="1:5">
      <c r="A339" s="7" t="s">
        <v>450</v>
      </c>
      <c r="B339" s="7" t="s">
        <v>451</v>
      </c>
      <c r="C339" s="8">
        <v>0</v>
      </c>
      <c r="D339" s="8">
        <v>1010.946</v>
      </c>
      <c r="E339" s="8">
        <v>2989.4209999999998</v>
      </c>
    </row>
    <row r="340" spans="1:5">
      <c r="A340" s="7" t="s">
        <v>345</v>
      </c>
      <c r="B340" s="7" t="s">
        <v>452</v>
      </c>
      <c r="C340" s="8">
        <v>2473.7190000000001</v>
      </c>
      <c r="D340" s="8">
        <v>0</v>
      </c>
      <c r="E340" s="8">
        <v>1268.6120000000001</v>
      </c>
    </row>
    <row r="341" spans="1:5">
      <c r="A341" s="7" t="s">
        <v>345</v>
      </c>
      <c r="B341" s="7" t="s">
        <v>453</v>
      </c>
      <c r="C341" s="8">
        <v>0</v>
      </c>
      <c r="D341" s="8">
        <v>3482.3364999999999</v>
      </c>
      <c r="E341" s="8">
        <v>4750.9484000000002</v>
      </c>
    </row>
    <row r="342" spans="1:5">
      <c r="A342" s="7" t="s">
        <v>345</v>
      </c>
      <c r="B342" s="7" t="s">
        <v>454</v>
      </c>
      <c r="C342" s="8">
        <v>160.80279999999999</v>
      </c>
      <c r="D342" s="8">
        <v>0</v>
      </c>
      <c r="E342" s="8">
        <v>4590.1457</v>
      </c>
    </row>
    <row r="343" spans="1:5">
      <c r="A343" s="7" t="s">
        <v>345</v>
      </c>
      <c r="B343" s="7" t="s">
        <v>455</v>
      </c>
      <c r="C343" s="8">
        <v>561.05870000000004</v>
      </c>
      <c r="D343" s="8">
        <v>0</v>
      </c>
      <c r="E343" s="8">
        <v>4029.087</v>
      </c>
    </row>
    <row r="344" spans="1:5">
      <c r="A344" s="7" t="s">
        <v>345</v>
      </c>
      <c r="B344" s="7" t="s">
        <v>456</v>
      </c>
      <c r="C344" s="8">
        <v>2073.4684999999999</v>
      </c>
      <c r="D344" s="8">
        <v>0</v>
      </c>
      <c r="E344" s="8">
        <v>1955.6185</v>
      </c>
    </row>
    <row r="345" spans="1:5">
      <c r="A345" s="7" t="s">
        <v>345</v>
      </c>
      <c r="B345" s="7" t="s">
        <v>457</v>
      </c>
      <c r="C345" s="8">
        <v>477.7978</v>
      </c>
      <c r="D345" s="8">
        <v>0</v>
      </c>
      <c r="E345" s="8">
        <v>1477.8208</v>
      </c>
    </row>
    <row r="346" spans="1:5">
      <c r="A346" s="7" t="s">
        <v>345</v>
      </c>
      <c r="B346" s="7" t="s">
        <v>458</v>
      </c>
      <c r="C346" s="8">
        <v>0</v>
      </c>
      <c r="D346" s="8">
        <v>199.8065</v>
      </c>
      <c r="E346" s="8">
        <v>1677.6271999999999</v>
      </c>
    </row>
    <row r="347" spans="1:5">
      <c r="A347" s="7" t="s">
        <v>459</v>
      </c>
      <c r="B347" s="7" t="s">
        <v>460</v>
      </c>
      <c r="C347" s="8">
        <v>15.93</v>
      </c>
      <c r="D347" s="8">
        <v>0</v>
      </c>
      <c r="E347" s="8">
        <v>1661.6972000000001</v>
      </c>
    </row>
    <row r="348" spans="1:5">
      <c r="A348" s="7" t="s">
        <v>461</v>
      </c>
      <c r="B348" s="7" t="s">
        <v>460</v>
      </c>
      <c r="C348" s="8">
        <v>0</v>
      </c>
      <c r="D348" s="8">
        <v>8885.0172000000002</v>
      </c>
      <c r="E348" s="8">
        <v>10546.7145</v>
      </c>
    </row>
    <row r="349" spans="1:5">
      <c r="A349" s="7" t="s">
        <v>345</v>
      </c>
      <c r="B349" s="7" t="s">
        <v>460</v>
      </c>
      <c r="C349" s="8">
        <v>1010.9866</v>
      </c>
      <c r="D349" s="8">
        <v>0</v>
      </c>
      <c r="E349" s="8">
        <v>9535.7278000000006</v>
      </c>
    </row>
    <row r="350" spans="1:5">
      <c r="A350" s="7" t="s">
        <v>345</v>
      </c>
      <c r="B350" s="7" t="s">
        <v>462</v>
      </c>
      <c r="C350" s="8">
        <v>1881.4873</v>
      </c>
      <c r="D350" s="8">
        <v>0</v>
      </c>
      <c r="E350" s="8">
        <v>7654.2404999999999</v>
      </c>
    </row>
    <row r="351" spans="1:5">
      <c r="A351" s="7" t="s">
        <v>345</v>
      </c>
      <c r="B351" s="7" t="s">
        <v>463</v>
      </c>
      <c r="C351" s="8">
        <v>2333.4908999999998</v>
      </c>
      <c r="D351" s="8">
        <v>0</v>
      </c>
      <c r="E351" s="8">
        <v>5320.7496000000001</v>
      </c>
    </row>
    <row r="352" spans="1:5">
      <c r="A352" s="7" t="s">
        <v>345</v>
      </c>
      <c r="B352" s="7" t="s">
        <v>464</v>
      </c>
      <c r="C352" s="8">
        <v>0</v>
      </c>
      <c r="D352" s="8">
        <v>446.72840000000002</v>
      </c>
      <c r="E352" s="8">
        <v>5767.4780000000001</v>
      </c>
    </row>
    <row r="353" spans="1:5">
      <c r="A353" s="7" t="s">
        <v>345</v>
      </c>
      <c r="B353" s="7" t="s">
        <v>465</v>
      </c>
      <c r="C353" s="8">
        <v>23.477900000000002</v>
      </c>
      <c r="D353" s="8">
        <v>0</v>
      </c>
      <c r="E353" s="8">
        <v>5744.0001000000002</v>
      </c>
    </row>
    <row r="354" spans="1:5">
      <c r="A354" s="7" t="s">
        <v>345</v>
      </c>
      <c r="B354" s="7" t="s">
        <v>466</v>
      </c>
      <c r="C354" s="8">
        <v>0</v>
      </c>
      <c r="D354" s="8">
        <v>443.22280000000001</v>
      </c>
      <c r="E354" s="8">
        <v>6187.2228999999998</v>
      </c>
    </row>
    <row r="355" spans="1:5">
      <c r="A355" s="7" t="s">
        <v>345</v>
      </c>
      <c r="B355" s="7" t="s">
        <v>467</v>
      </c>
      <c r="C355" s="8">
        <v>0</v>
      </c>
      <c r="D355" s="8">
        <v>702.75930000000005</v>
      </c>
      <c r="E355" s="8">
        <v>6889.9822000000004</v>
      </c>
    </row>
    <row r="356" spans="1:5">
      <c r="A356" s="7" t="s">
        <v>345</v>
      </c>
      <c r="B356" s="7" t="s">
        <v>468</v>
      </c>
      <c r="C356" s="8">
        <v>0</v>
      </c>
      <c r="D356" s="8">
        <v>692.75300000000004</v>
      </c>
      <c r="E356" s="8">
        <v>7582.7352000000001</v>
      </c>
    </row>
    <row r="357" spans="1:5">
      <c r="A357" s="7" t="s">
        <v>345</v>
      </c>
      <c r="B357" s="7" t="s">
        <v>469</v>
      </c>
      <c r="C357" s="8">
        <v>1518.3425</v>
      </c>
      <c r="D357" s="8">
        <v>0</v>
      </c>
      <c r="E357" s="8">
        <v>6064.3927000000003</v>
      </c>
    </row>
    <row r="358" spans="1:5">
      <c r="A358" s="7" t="s">
        <v>345</v>
      </c>
      <c r="B358" s="7" t="s">
        <v>470</v>
      </c>
      <c r="C358" s="8">
        <v>0</v>
      </c>
      <c r="D358" s="8">
        <v>112.11669999999999</v>
      </c>
      <c r="E358" s="8">
        <v>6176.5093999999999</v>
      </c>
    </row>
    <row r="359" spans="1:5">
      <c r="A359" s="7" t="s">
        <v>345</v>
      </c>
      <c r="B359" s="7" t="s">
        <v>471</v>
      </c>
      <c r="C359" s="8">
        <v>0</v>
      </c>
      <c r="D359" s="8">
        <v>647.21780000000001</v>
      </c>
      <c r="E359" s="8">
        <v>6823.7272999999996</v>
      </c>
    </row>
    <row r="360" spans="1:5">
      <c r="A360" s="7" t="s">
        <v>345</v>
      </c>
      <c r="B360" s="7" t="s">
        <v>472</v>
      </c>
      <c r="C360" s="8">
        <v>0</v>
      </c>
      <c r="D360" s="8">
        <v>822.53189999999995</v>
      </c>
      <c r="E360" s="8">
        <v>7646.2592000000004</v>
      </c>
    </row>
    <row r="361" spans="1:5">
      <c r="A361" s="7" t="s">
        <v>345</v>
      </c>
      <c r="B361" s="7" t="s">
        <v>473</v>
      </c>
      <c r="C361" s="8">
        <v>3099.5572000000002</v>
      </c>
      <c r="D361" s="8">
        <v>0</v>
      </c>
      <c r="E361" s="8">
        <v>4546.7020000000002</v>
      </c>
    </row>
    <row r="362" spans="1:5">
      <c r="A362" s="7" t="s">
        <v>345</v>
      </c>
      <c r="B362" s="7" t="s">
        <v>474</v>
      </c>
      <c r="C362" s="8">
        <v>754.2337</v>
      </c>
      <c r="D362" s="8">
        <v>0</v>
      </c>
      <c r="E362" s="8">
        <v>3792.4684000000002</v>
      </c>
    </row>
    <row r="363" spans="1:5">
      <c r="A363" s="7" t="s">
        <v>345</v>
      </c>
      <c r="B363" s="7" t="s">
        <v>475</v>
      </c>
      <c r="C363" s="8">
        <v>2896.7064999999998</v>
      </c>
      <c r="D363" s="8">
        <v>0</v>
      </c>
      <c r="E363" s="8">
        <v>895.76189999999997</v>
      </c>
    </row>
    <row r="364" spans="1:5">
      <c r="A364" s="7" t="s">
        <v>114</v>
      </c>
      <c r="B364" s="7" t="s">
        <v>476</v>
      </c>
      <c r="C364" s="8">
        <v>10.62</v>
      </c>
      <c r="D364" s="8">
        <v>0</v>
      </c>
      <c r="E364" s="8">
        <v>20885.141899999999</v>
      </c>
    </row>
    <row r="365" spans="1:5">
      <c r="A365" s="7" t="s">
        <v>345</v>
      </c>
      <c r="B365" s="7" t="s">
        <v>477</v>
      </c>
      <c r="C365" s="8">
        <v>0</v>
      </c>
      <c r="D365" s="8">
        <v>955.32339999999999</v>
      </c>
      <c r="E365" s="8">
        <v>21840.4653</v>
      </c>
    </row>
    <row r="366" spans="1:5">
      <c r="A366" s="7" t="s">
        <v>345</v>
      </c>
      <c r="B366" s="7" t="s">
        <v>478</v>
      </c>
      <c r="C366" s="8">
        <v>0</v>
      </c>
      <c r="D366" s="8">
        <v>1694.1502</v>
      </c>
      <c r="E366" s="8">
        <v>23534.6155</v>
      </c>
    </row>
    <row r="367" spans="1:5">
      <c r="A367" s="7" t="s">
        <v>345</v>
      </c>
      <c r="B367" s="7" t="s">
        <v>479</v>
      </c>
      <c r="C367" s="8">
        <v>0</v>
      </c>
      <c r="D367" s="8">
        <v>1364.3058000000001</v>
      </c>
      <c r="E367" s="8">
        <v>24898.921300000002</v>
      </c>
    </row>
    <row r="368" spans="1:5">
      <c r="A368" s="7" t="s">
        <v>345</v>
      </c>
      <c r="B368" s="7" t="s">
        <v>480</v>
      </c>
      <c r="C368" s="8">
        <v>0</v>
      </c>
      <c r="D368" s="8">
        <v>639.60440000000006</v>
      </c>
      <c r="E368" s="8">
        <v>25538.525600000001</v>
      </c>
    </row>
    <row r="369" spans="1:5">
      <c r="A369" s="7" t="s">
        <v>345</v>
      </c>
      <c r="B369" s="7" t="s">
        <v>481</v>
      </c>
      <c r="C369" s="8">
        <v>0</v>
      </c>
      <c r="D369" s="8">
        <v>681.6087</v>
      </c>
      <c r="E369" s="8">
        <v>26220.134300000002</v>
      </c>
    </row>
    <row r="370" spans="1:5">
      <c r="A370" s="7" t="s">
        <v>345</v>
      </c>
      <c r="B370" s="7" t="s">
        <v>482</v>
      </c>
      <c r="C370" s="8">
        <v>0</v>
      </c>
      <c r="D370" s="8">
        <v>1511.4982</v>
      </c>
      <c r="E370" s="8">
        <v>27731.6325</v>
      </c>
    </row>
    <row r="371" spans="1:5">
      <c r="A371" s="7" t="s">
        <v>345</v>
      </c>
      <c r="B371" s="7" t="s">
        <v>483</v>
      </c>
      <c r="C371" s="8">
        <v>5000.4339</v>
      </c>
      <c r="D371" s="8">
        <v>0</v>
      </c>
      <c r="E371" s="8">
        <v>22731.1986</v>
      </c>
    </row>
    <row r="372" spans="1:5">
      <c r="A372" s="7" t="s">
        <v>345</v>
      </c>
      <c r="B372" s="7" t="s">
        <v>484</v>
      </c>
      <c r="C372" s="8">
        <v>0</v>
      </c>
      <c r="D372" s="8">
        <v>1082.0514000000001</v>
      </c>
      <c r="E372" s="8">
        <v>23813.25</v>
      </c>
    </row>
    <row r="373" spans="1:5">
      <c r="A373" s="7" t="s">
        <v>345</v>
      </c>
      <c r="B373" s="7" t="s">
        <v>485</v>
      </c>
      <c r="C373" s="8">
        <v>4044.8580000000002</v>
      </c>
      <c r="D373" s="8">
        <v>0</v>
      </c>
      <c r="E373" s="8">
        <v>19768.392</v>
      </c>
    </row>
    <row r="374" spans="1:5">
      <c r="A374" s="7" t="s">
        <v>114</v>
      </c>
      <c r="B374" s="7" t="s">
        <v>486</v>
      </c>
      <c r="C374" s="8">
        <v>10.62</v>
      </c>
      <c r="D374" s="8">
        <v>0</v>
      </c>
      <c r="E374" s="8">
        <v>19989.382000000001</v>
      </c>
    </row>
    <row r="375" spans="1:5">
      <c r="A375" s="7" t="s">
        <v>345</v>
      </c>
      <c r="B375" s="7" t="s">
        <v>486</v>
      </c>
      <c r="C375" s="8">
        <v>0</v>
      </c>
      <c r="D375" s="8">
        <v>433.17579999999998</v>
      </c>
      <c r="E375" s="8">
        <v>20422.557799999999</v>
      </c>
    </row>
    <row r="376" spans="1:5">
      <c r="A376" s="7" t="s">
        <v>345</v>
      </c>
      <c r="B376" s="7" t="s">
        <v>487</v>
      </c>
      <c r="C376" s="8">
        <v>0</v>
      </c>
      <c r="D376" s="8">
        <v>547.17840000000001</v>
      </c>
      <c r="E376" s="8">
        <v>20969.736199999999</v>
      </c>
    </row>
    <row r="377" spans="1:5">
      <c r="A377" s="7" t="s">
        <v>345</v>
      </c>
      <c r="B377" s="7" t="s">
        <v>488</v>
      </c>
      <c r="C377" s="8">
        <v>0</v>
      </c>
      <c r="D377" s="8">
        <v>304.65309999999999</v>
      </c>
      <c r="E377" s="8">
        <v>21274.389299999999</v>
      </c>
    </row>
    <row r="378" spans="1:5">
      <c r="A378" s="7" t="s">
        <v>345</v>
      </c>
      <c r="B378" s="7" t="s">
        <v>489</v>
      </c>
      <c r="C378" s="8">
        <v>0</v>
      </c>
      <c r="D378" s="8">
        <v>967.73469999999998</v>
      </c>
      <c r="E378" s="8">
        <v>22242.124</v>
      </c>
    </row>
    <row r="379" spans="1:5">
      <c r="A379" s="7" t="s">
        <v>345</v>
      </c>
      <c r="B379" s="7" t="s">
        <v>490</v>
      </c>
      <c r="C379" s="8">
        <v>0</v>
      </c>
      <c r="D379" s="8">
        <v>1157.0762999999999</v>
      </c>
      <c r="E379" s="8">
        <v>23399.2003</v>
      </c>
    </row>
    <row r="380" spans="1:5">
      <c r="A380" s="7" t="s">
        <v>345</v>
      </c>
      <c r="B380" s="7" t="s">
        <v>491</v>
      </c>
      <c r="C380" s="8">
        <v>0</v>
      </c>
      <c r="D380" s="8">
        <v>884.00310000000002</v>
      </c>
      <c r="E380" s="8">
        <v>24283.203399999999</v>
      </c>
    </row>
    <row r="381" spans="1:5">
      <c r="A381" s="7" t="s">
        <v>345</v>
      </c>
      <c r="B381" s="7" t="s">
        <v>492</v>
      </c>
      <c r="C381" s="8">
        <v>0</v>
      </c>
      <c r="D381" s="8">
        <v>342.34030000000001</v>
      </c>
      <c r="E381" s="8">
        <v>24625.543699999998</v>
      </c>
    </row>
    <row r="382" spans="1:5">
      <c r="A382" s="7" t="s">
        <v>345</v>
      </c>
      <c r="B382" s="7" t="s">
        <v>493</v>
      </c>
      <c r="C382" s="8">
        <v>648.26110000000006</v>
      </c>
      <c r="D382" s="8">
        <v>0</v>
      </c>
      <c r="E382" s="8">
        <v>23977.282599999999</v>
      </c>
    </row>
    <row r="383" spans="1:5">
      <c r="A383" s="7" t="s">
        <v>345</v>
      </c>
      <c r="B383" s="7" t="s">
        <v>494</v>
      </c>
      <c r="C383" s="8">
        <v>1137.2589</v>
      </c>
      <c r="D383" s="8">
        <v>0</v>
      </c>
      <c r="E383" s="8">
        <v>22840.023700000002</v>
      </c>
    </row>
    <row r="384" spans="1:5">
      <c r="A384" s="7" t="s">
        <v>345</v>
      </c>
      <c r="B384" s="7" t="s">
        <v>495</v>
      </c>
      <c r="C384" s="8">
        <v>3815.3379</v>
      </c>
      <c r="D384" s="8">
        <v>0</v>
      </c>
      <c r="E384" s="8">
        <v>19024.685799999999</v>
      </c>
    </row>
    <row r="385" spans="1:5">
      <c r="A385" s="7" t="s">
        <v>345</v>
      </c>
      <c r="B385" s="7" t="s">
        <v>496</v>
      </c>
      <c r="C385" s="8">
        <v>1561.5246</v>
      </c>
      <c r="D385" s="8">
        <v>0</v>
      </c>
      <c r="E385" s="8">
        <v>17463.161199999999</v>
      </c>
    </row>
    <row r="386" spans="1:5">
      <c r="A386" s="7" t="s">
        <v>345</v>
      </c>
      <c r="B386" s="7" t="s">
        <v>497</v>
      </c>
      <c r="C386" s="8">
        <v>1741.4448</v>
      </c>
      <c r="D386" s="8">
        <v>0</v>
      </c>
      <c r="E386" s="8">
        <v>15721.716399999999</v>
      </c>
    </row>
    <row r="387" spans="1:5">
      <c r="A387" s="7" t="s">
        <v>345</v>
      </c>
      <c r="B387" s="7" t="s">
        <v>498</v>
      </c>
      <c r="C387" s="8">
        <v>1768.2734</v>
      </c>
      <c r="D387" s="8">
        <v>0</v>
      </c>
      <c r="E387" s="8">
        <v>13953.442999999999</v>
      </c>
    </row>
    <row r="388" spans="1:5">
      <c r="A388" s="7" t="s">
        <v>345</v>
      </c>
      <c r="B388" s="7" t="s">
        <v>499</v>
      </c>
      <c r="C388" s="8">
        <v>0</v>
      </c>
      <c r="D388" s="8">
        <v>4253.6696000000002</v>
      </c>
      <c r="E388" s="8">
        <v>18207.1126</v>
      </c>
    </row>
    <row r="389" spans="1:5">
      <c r="A389" s="7" t="s">
        <v>345</v>
      </c>
      <c r="B389" s="7" t="s">
        <v>500</v>
      </c>
      <c r="C389" s="8">
        <v>0</v>
      </c>
      <c r="D389" s="8">
        <v>1476.2123999999999</v>
      </c>
      <c r="E389" s="8">
        <v>19683.325000000001</v>
      </c>
    </row>
    <row r="390" spans="1:5">
      <c r="A390" s="7" t="s">
        <v>345</v>
      </c>
      <c r="B390" s="7" t="s">
        <v>501</v>
      </c>
      <c r="C390" s="8">
        <v>1017.7033</v>
      </c>
      <c r="D390" s="8">
        <v>0</v>
      </c>
      <c r="E390" s="8">
        <v>18665.621800000001</v>
      </c>
    </row>
    <row r="391" spans="1:5">
      <c r="A391" s="7" t="s">
        <v>345</v>
      </c>
      <c r="B391" s="7" t="s">
        <v>502</v>
      </c>
      <c r="C391" s="8">
        <v>1531.3187</v>
      </c>
      <c r="D391" s="8">
        <v>0</v>
      </c>
      <c r="E391" s="8">
        <v>17134.303100000001</v>
      </c>
    </row>
    <row r="392" spans="1:5">
      <c r="A392" s="7" t="s">
        <v>345</v>
      </c>
      <c r="B392" s="7" t="s">
        <v>503</v>
      </c>
      <c r="C392" s="8">
        <v>0</v>
      </c>
      <c r="D392" s="8">
        <v>1564.4703</v>
      </c>
      <c r="E392" s="8">
        <v>18698.773399999998</v>
      </c>
    </row>
    <row r="393" spans="1:5">
      <c r="A393" s="7" t="s">
        <v>345</v>
      </c>
      <c r="B393" s="7" t="s">
        <v>504</v>
      </c>
      <c r="C393" s="8">
        <v>5352.5</v>
      </c>
      <c r="D393" s="8">
        <v>0</v>
      </c>
      <c r="E393" s="8">
        <v>13346.2734</v>
      </c>
    </row>
    <row r="394" spans="1:5">
      <c r="A394" s="7" t="s">
        <v>345</v>
      </c>
      <c r="B394" s="7" t="s">
        <v>505</v>
      </c>
      <c r="C394" s="8">
        <v>0</v>
      </c>
      <c r="D394" s="8">
        <v>1719.2184</v>
      </c>
      <c r="E394" s="8">
        <v>15065.4918</v>
      </c>
    </row>
    <row r="395" spans="1:5">
      <c r="A395" s="7" t="s">
        <v>345</v>
      </c>
      <c r="B395" s="7" t="s">
        <v>506</v>
      </c>
      <c r="C395" s="8">
        <v>13812.6792</v>
      </c>
      <c r="D395" s="8">
        <v>0</v>
      </c>
      <c r="E395" s="8">
        <v>21252.812600000001</v>
      </c>
    </row>
    <row r="396" spans="1:5">
      <c r="A396" s="7" t="s">
        <v>345</v>
      </c>
      <c r="B396" s="7" t="s">
        <v>507</v>
      </c>
      <c r="C396" s="8">
        <v>9251.2453999999998</v>
      </c>
      <c r="D396" s="8">
        <v>0</v>
      </c>
      <c r="E396" s="8">
        <v>5748.7572</v>
      </c>
    </row>
    <row r="397" spans="1:5">
      <c r="A397" s="7" t="s">
        <v>345</v>
      </c>
      <c r="B397" s="7" t="s">
        <v>508</v>
      </c>
      <c r="C397" s="8">
        <v>0</v>
      </c>
      <c r="D397" s="8">
        <v>902.95590000000004</v>
      </c>
      <c r="E397" s="8">
        <v>6651.7132000000001</v>
      </c>
    </row>
    <row r="398" spans="1:5">
      <c r="A398" s="7" t="s">
        <v>345</v>
      </c>
      <c r="B398" s="7" t="s">
        <v>509</v>
      </c>
      <c r="C398" s="8">
        <v>0</v>
      </c>
      <c r="D398" s="8">
        <v>1738.518</v>
      </c>
      <c r="E398" s="8">
        <v>8390.2312000000002</v>
      </c>
    </row>
    <row r="399" spans="1:5">
      <c r="A399" s="7" t="s">
        <v>345</v>
      </c>
      <c r="B399" s="7" t="s">
        <v>510</v>
      </c>
      <c r="C399" s="8">
        <v>0</v>
      </c>
      <c r="D399" s="8">
        <v>1437.4644000000001</v>
      </c>
      <c r="E399" s="8">
        <v>9827.6955999999991</v>
      </c>
    </row>
    <row r="400" spans="1:5">
      <c r="A400" s="7" t="s">
        <v>345</v>
      </c>
      <c r="B400" s="7" t="s">
        <v>511</v>
      </c>
      <c r="C400" s="8">
        <v>3727.6842999999999</v>
      </c>
      <c r="D400" s="8">
        <v>0</v>
      </c>
      <c r="E400" s="8">
        <v>6100.0113000000001</v>
      </c>
    </row>
    <row r="401" spans="1:5">
      <c r="A401" s="7" t="s">
        <v>345</v>
      </c>
      <c r="B401" s="7" t="s">
        <v>512</v>
      </c>
      <c r="C401" s="8">
        <v>5360.5481</v>
      </c>
      <c r="D401" s="8">
        <v>0</v>
      </c>
      <c r="E401" s="8">
        <v>739.46320000000003</v>
      </c>
    </row>
    <row r="402" spans="1:5">
      <c r="A402" s="7" t="s">
        <v>345</v>
      </c>
      <c r="B402" s="7" t="s">
        <v>513</v>
      </c>
      <c r="C402" s="8">
        <v>0</v>
      </c>
      <c r="D402" s="8">
        <v>170.26750000000001</v>
      </c>
      <c r="E402" s="8">
        <v>5909.7307000000001</v>
      </c>
    </row>
    <row r="403" spans="1:5">
      <c r="A403" s="7" t="s">
        <v>345</v>
      </c>
      <c r="B403" s="7" t="s">
        <v>514</v>
      </c>
      <c r="C403" s="8">
        <v>0</v>
      </c>
      <c r="D403" s="8">
        <v>265.85000000000002</v>
      </c>
      <c r="E403" s="8">
        <v>5436.1206000000002</v>
      </c>
    </row>
    <row r="404" spans="1:5">
      <c r="A404" s="7" t="s">
        <v>345</v>
      </c>
      <c r="B404" s="7" t="s">
        <v>515</v>
      </c>
      <c r="C404" s="8">
        <v>0</v>
      </c>
      <c r="D404" s="8">
        <v>57.7239</v>
      </c>
      <c r="E404" s="8">
        <v>5493.8445000000002</v>
      </c>
    </row>
    <row r="405" spans="1:5">
      <c r="A405" s="7" t="s">
        <v>345</v>
      </c>
      <c r="B405" s="7" t="s">
        <v>516</v>
      </c>
      <c r="C405" s="8">
        <v>0</v>
      </c>
      <c r="D405" s="8">
        <v>361.77710000000002</v>
      </c>
      <c r="E405" s="8">
        <v>5855.6216000000004</v>
      </c>
    </row>
    <row r="406" spans="1:5">
      <c r="A406" s="7" t="s">
        <v>345</v>
      </c>
      <c r="B406" s="7" t="s">
        <v>517</v>
      </c>
      <c r="C406" s="8">
        <v>0</v>
      </c>
      <c r="D406" s="8">
        <v>2970.6994</v>
      </c>
      <c r="E406" s="8">
        <v>8826.3209999999999</v>
      </c>
    </row>
    <row r="407" spans="1:5">
      <c r="A407" s="7" t="s">
        <v>345</v>
      </c>
      <c r="B407" s="7" t="s">
        <v>518</v>
      </c>
      <c r="C407" s="8">
        <v>98.096599999999995</v>
      </c>
      <c r="D407" s="8">
        <v>0</v>
      </c>
      <c r="E407" s="8">
        <v>8728.2243999999992</v>
      </c>
    </row>
    <row r="408" spans="1:5">
      <c r="A408" s="7" t="s">
        <v>345</v>
      </c>
      <c r="B408" s="7" t="s">
        <v>519</v>
      </c>
      <c r="C408" s="8">
        <v>0</v>
      </c>
      <c r="D408" s="8">
        <v>686.99990000000003</v>
      </c>
      <c r="E408" s="8">
        <v>9415.2242999999999</v>
      </c>
    </row>
    <row r="409" spans="1:5">
      <c r="A409" s="7" t="s">
        <v>345</v>
      </c>
      <c r="B409" s="7" t="s">
        <v>520</v>
      </c>
      <c r="C409" s="8">
        <v>1558.3322000000001</v>
      </c>
      <c r="D409" s="8">
        <v>0</v>
      </c>
      <c r="E409" s="8">
        <v>7856.8921</v>
      </c>
    </row>
    <row r="410" spans="1:5">
      <c r="A410" s="7" t="s">
        <v>345</v>
      </c>
      <c r="B410" s="7" t="s">
        <v>521</v>
      </c>
      <c r="C410" s="8">
        <v>1278.5001999999999</v>
      </c>
      <c r="D410" s="8">
        <v>0</v>
      </c>
      <c r="E410" s="8">
        <v>6578.3918999999996</v>
      </c>
    </row>
    <row r="411" spans="1:5">
      <c r="A411" s="7" t="s">
        <v>345</v>
      </c>
      <c r="B411" s="7" t="s">
        <v>522</v>
      </c>
      <c r="C411" s="8">
        <v>0</v>
      </c>
      <c r="D411" s="8">
        <v>853.03769999999997</v>
      </c>
      <c r="E411" s="8">
        <v>7431.4296999999997</v>
      </c>
    </row>
    <row r="412" spans="1:5">
      <c r="A412" s="7" t="s">
        <v>345</v>
      </c>
      <c r="B412" s="7" t="s">
        <v>523</v>
      </c>
      <c r="C412" s="8">
        <v>0</v>
      </c>
      <c r="D412" s="8">
        <v>550.80859999999996</v>
      </c>
      <c r="E412" s="8">
        <v>7982.2383</v>
      </c>
    </row>
    <row r="413" spans="1:5">
      <c r="A413" s="7" t="s">
        <v>345</v>
      </c>
      <c r="B413" s="7" t="s">
        <v>524</v>
      </c>
      <c r="C413" s="8">
        <v>670.1943</v>
      </c>
      <c r="D413" s="8">
        <v>0</v>
      </c>
      <c r="E413" s="8">
        <v>7312.0439999999999</v>
      </c>
    </row>
    <row r="414" spans="1:5">
      <c r="A414" s="7" t="s">
        <v>345</v>
      </c>
      <c r="B414" s="7" t="s">
        <v>525</v>
      </c>
      <c r="C414" s="8">
        <v>1462.7159999999999</v>
      </c>
      <c r="D414" s="8">
        <v>0</v>
      </c>
      <c r="E414" s="8">
        <v>5849.3280000000004</v>
      </c>
    </row>
    <row r="415" spans="1:5">
      <c r="A415" s="7" t="s">
        <v>345</v>
      </c>
      <c r="B415" s="7" t="s">
        <v>526</v>
      </c>
      <c r="C415" s="8">
        <v>1727.3117</v>
      </c>
      <c r="D415" s="8">
        <v>0</v>
      </c>
      <c r="E415" s="8">
        <v>9122.0162999999993</v>
      </c>
    </row>
    <row r="416" spans="1:5">
      <c r="A416" s="7" t="s">
        <v>345</v>
      </c>
      <c r="B416" s="7" t="s">
        <v>527</v>
      </c>
      <c r="C416" s="8">
        <v>0</v>
      </c>
      <c r="D416" s="8">
        <v>188.37029999999999</v>
      </c>
      <c r="E416" s="8">
        <v>9310.3865999999998</v>
      </c>
    </row>
    <row r="417" spans="1:5">
      <c r="A417" s="7" t="s">
        <v>345</v>
      </c>
      <c r="B417" s="7" t="s">
        <v>528</v>
      </c>
      <c r="C417" s="8">
        <v>0</v>
      </c>
      <c r="D417" s="8">
        <v>402.9203</v>
      </c>
      <c r="E417" s="8">
        <v>9713.3068999999996</v>
      </c>
    </row>
    <row r="418" spans="1:5">
      <c r="A418" s="7" t="s">
        <v>529</v>
      </c>
      <c r="B418" s="7" t="s">
        <v>528</v>
      </c>
      <c r="C418" s="8">
        <v>0</v>
      </c>
      <c r="D418" s="8">
        <v>3.2694000000000001</v>
      </c>
      <c r="E418" s="8">
        <v>9716.5763000000006</v>
      </c>
    </row>
    <row r="419" spans="1:5">
      <c r="A419" s="7" t="s">
        <v>530</v>
      </c>
      <c r="B419" s="7" t="s">
        <v>531</v>
      </c>
      <c r="C419" s="8">
        <v>3</v>
      </c>
      <c r="D419" s="8">
        <v>0</v>
      </c>
      <c r="E419" s="8">
        <v>9713.5763000000006</v>
      </c>
    </row>
    <row r="420" spans="1:5">
      <c r="A420" s="7" t="s">
        <v>532</v>
      </c>
      <c r="B420" s="7" t="s">
        <v>531</v>
      </c>
      <c r="C420" s="8">
        <v>96.006100000000004</v>
      </c>
      <c r="D420" s="8">
        <v>0</v>
      </c>
      <c r="E420" s="8">
        <v>9617.5702000000001</v>
      </c>
    </row>
    <row r="421" spans="1:5">
      <c r="A421" s="7" t="s">
        <v>345</v>
      </c>
      <c r="B421" s="7" t="s">
        <v>531</v>
      </c>
      <c r="C421" s="8">
        <v>404.93709999999999</v>
      </c>
      <c r="D421" s="8">
        <v>0</v>
      </c>
      <c r="E421" s="8">
        <v>9212.6330999999991</v>
      </c>
    </row>
    <row r="422" spans="1:5">
      <c r="A422" s="7" t="s">
        <v>345</v>
      </c>
      <c r="B422" s="7" t="s">
        <v>533</v>
      </c>
      <c r="C422" s="8">
        <v>3391.895</v>
      </c>
      <c r="D422" s="8">
        <v>0</v>
      </c>
      <c r="E422" s="8">
        <v>5820.7380999999996</v>
      </c>
    </row>
    <row r="423" spans="1:5">
      <c r="A423" s="7" t="s">
        <v>345</v>
      </c>
      <c r="B423" s="7" t="s">
        <v>534</v>
      </c>
      <c r="C423" s="8">
        <v>10.0046</v>
      </c>
      <c r="D423" s="8">
        <v>0</v>
      </c>
      <c r="E423" s="8">
        <v>5810.7334000000001</v>
      </c>
    </row>
    <row r="424" spans="1:5">
      <c r="A424" s="7" t="s">
        <v>345</v>
      </c>
      <c r="B424" s="7" t="s">
        <v>535</v>
      </c>
      <c r="C424" s="8">
        <v>1893.6337000000001</v>
      </c>
      <c r="D424" s="8">
        <v>0</v>
      </c>
      <c r="E424" s="8">
        <v>3917.0997000000002</v>
      </c>
    </row>
    <row r="425" spans="1:5">
      <c r="A425" s="7" t="s">
        <v>345</v>
      </c>
      <c r="B425" s="7" t="s">
        <v>536</v>
      </c>
      <c r="C425" s="8">
        <v>0</v>
      </c>
      <c r="D425" s="8">
        <v>206.09350000000001</v>
      </c>
      <c r="E425" s="8">
        <v>206.19319999999999</v>
      </c>
    </row>
    <row r="426" spans="1:5">
      <c r="A426" s="7" t="s">
        <v>345</v>
      </c>
      <c r="B426" s="7" t="s">
        <v>537</v>
      </c>
      <c r="C426" s="8">
        <v>183.006</v>
      </c>
      <c r="D426" s="8">
        <v>0</v>
      </c>
      <c r="E426" s="8">
        <v>5023.1872000000003</v>
      </c>
    </row>
    <row r="427" spans="1:5">
      <c r="A427" s="7" t="s">
        <v>345</v>
      </c>
      <c r="B427" s="7" t="s">
        <v>538</v>
      </c>
      <c r="C427" s="8">
        <v>3635.1502</v>
      </c>
      <c r="D427" s="8">
        <v>0</v>
      </c>
      <c r="E427" s="8">
        <v>1388.037</v>
      </c>
    </row>
    <row r="428" spans="1:5">
      <c r="A428" s="7" t="s">
        <v>345</v>
      </c>
      <c r="B428" s="7" t="s">
        <v>539</v>
      </c>
      <c r="C428" s="8">
        <v>1204.9829999999999</v>
      </c>
      <c r="D428" s="8">
        <v>0</v>
      </c>
      <c r="E428" s="8">
        <v>183.054</v>
      </c>
    </row>
    <row r="429" spans="1:5">
      <c r="A429" s="9" t="s">
        <v>540</v>
      </c>
      <c r="B429" s="9" t="s">
        <v>541</v>
      </c>
      <c r="C429" s="10">
        <v>88.5</v>
      </c>
      <c r="D429" s="8">
        <v>0</v>
      </c>
      <c r="E429" s="8">
        <v>94.554000000000002</v>
      </c>
    </row>
    <row r="430" spans="1:5">
      <c r="A430" s="7" t="s">
        <v>345</v>
      </c>
      <c r="B430" s="7" t="s">
        <v>542</v>
      </c>
      <c r="C430" s="8">
        <v>373.26420000000002</v>
      </c>
      <c r="D430" s="8">
        <v>0</v>
      </c>
      <c r="E430" s="8">
        <v>9721.2898000000005</v>
      </c>
    </row>
    <row r="431" spans="1:5">
      <c r="A431" s="7" t="s">
        <v>345</v>
      </c>
      <c r="B431" s="7" t="s">
        <v>543</v>
      </c>
      <c r="C431" s="8">
        <v>1962.9142999999999</v>
      </c>
      <c r="D431" s="8">
        <v>0</v>
      </c>
      <c r="E431" s="8">
        <v>7758.3755000000001</v>
      </c>
    </row>
    <row r="432" spans="1:5">
      <c r="A432" s="7" t="s">
        <v>345</v>
      </c>
      <c r="B432" s="7" t="s">
        <v>544</v>
      </c>
      <c r="C432" s="8">
        <v>3123.2293</v>
      </c>
      <c r="D432" s="8">
        <v>0</v>
      </c>
      <c r="E432" s="8">
        <v>4635.1463000000003</v>
      </c>
    </row>
    <row r="433" spans="1:5">
      <c r="A433" s="7" t="s">
        <v>345</v>
      </c>
      <c r="B433" s="7" t="s">
        <v>545</v>
      </c>
      <c r="C433" s="8">
        <v>0</v>
      </c>
      <c r="D433" s="8">
        <v>184.34460000000001</v>
      </c>
      <c r="E433" s="8">
        <v>4819.4908999999998</v>
      </c>
    </row>
    <row r="434" spans="1:5">
      <c r="A434" s="7" t="s">
        <v>345</v>
      </c>
      <c r="B434" s="7" t="s">
        <v>546</v>
      </c>
      <c r="C434" s="8">
        <v>495.22519999999997</v>
      </c>
      <c r="D434" s="8">
        <v>0</v>
      </c>
      <c r="E434" s="8">
        <v>4324.2655999999997</v>
      </c>
    </row>
    <row r="435" spans="1:5">
      <c r="A435" s="7" t="s">
        <v>547</v>
      </c>
      <c r="B435" s="7" t="s">
        <v>546</v>
      </c>
      <c r="C435" s="8">
        <v>15.079800000000001</v>
      </c>
      <c r="D435" s="8">
        <v>0</v>
      </c>
      <c r="E435" s="8">
        <v>4309.1859000000004</v>
      </c>
    </row>
    <row r="436" spans="1:5">
      <c r="A436" s="7" t="s">
        <v>345</v>
      </c>
      <c r="B436" s="7" t="s">
        <v>548</v>
      </c>
      <c r="C436" s="8">
        <v>383.8467</v>
      </c>
      <c r="D436" s="8">
        <v>0</v>
      </c>
      <c r="E436" s="8">
        <v>3925.3391999999999</v>
      </c>
    </row>
    <row r="437" spans="1:5">
      <c r="A437" s="7" t="s">
        <v>345</v>
      </c>
      <c r="B437" s="7" t="s">
        <v>549</v>
      </c>
      <c r="C437" s="8">
        <v>0</v>
      </c>
      <c r="D437" s="8">
        <v>195.72620000000001</v>
      </c>
      <c r="E437" s="8">
        <v>4121.0653000000002</v>
      </c>
    </row>
    <row r="438" spans="1:5">
      <c r="A438" s="7" t="s">
        <v>345</v>
      </c>
      <c r="B438" s="7" t="s">
        <v>550</v>
      </c>
      <c r="C438" s="8">
        <v>3949.8123999999998</v>
      </c>
      <c r="D438" s="8">
        <v>0</v>
      </c>
      <c r="E438" s="8">
        <v>3171.2529</v>
      </c>
    </row>
    <row r="439" spans="1:5">
      <c r="A439" s="7" t="s">
        <v>345</v>
      </c>
      <c r="B439" s="7" t="s">
        <v>551</v>
      </c>
      <c r="C439" s="8">
        <v>111.5813</v>
      </c>
      <c r="D439" s="8">
        <v>0</v>
      </c>
      <c r="E439" s="8">
        <v>10059.671700000001</v>
      </c>
    </row>
    <row r="440" spans="1:5">
      <c r="A440" s="7" t="s">
        <v>345</v>
      </c>
      <c r="B440" s="7" t="s">
        <v>552</v>
      </c>
      <c r="C440" s="8">
        <v>0</v>
      </c>
      <c r="D440" s="8">
        <v>531.08699999999999</v>
      </c>
      <c r="E440" s="8">
        <v>10590.7587</v>
      </c>
    </row>
    <row r="441" spans="1:5">
      <c r="A441" s="7" t="s">
        <v>345</v>
      </c>
      <c r="B441" s="7" t="s">
        <v>553</v>
      </c>
      <c r="C441" s="8">
        <v>265.88740000000001</v>
      </c>
      <c r="D441" s="8">
        <v>0</v>
      </c>
      <c r="E441" s="8">
        <v>10324.8712</v>
      </c>
    </row>
    <row r="442" spans="1:5">
      <c r="A442" s="7" t="s">
        <v>345</v>
      </c>
      <c r="B442" s="7" t="s">
        <v>554</v>
      </c>
      <c r="C442" s="8">
        <v>0</v>
      </c>
      <c r="D442" s="8">
        <v>623.51940000000002</v>
      </c>
      <c r="E442" s="8">
        <v>10948.390600000001</v>
      </c>
    </row>
    <row r="443" spans="1:5">
      <c r="A443" s="7" t="s">
        <v>345</v>
      </c>
      <c r="B443" s="7" t="s">
        <v>555</v>
      </c>
      <c r="C443" s="8">
        <v>0</v>
      </c>
      <c r="D443" s="8">
        <v>327.38290000000001</v>
      </c>
      <c r="E443" s="8">
        <v>11275.773499999999</v>
      </c>
    </row>
    <row r="444" spans="1:5">
      <c r="A444" s="7" t="s">
        <v>345</v>
      </c>
      <c r="B444" s="7" t="s">
        <v>556</v>
      </c>
      <c r="C444" s="8">
        <v>3913.9252000000001</v>
      </c>
      <c r="D444" s="8">
        <v>0</v>
      </c>
      <c r="E444" s="8">
        <v>7361.8482000000004</v>
      </c>
    </row>
    <row r="445" spans="1:5">
      <c r="A445" s="7" t="s">
        <v>345</v>
      </c>
      <c r="B445" s="7" t="s">
        <v>557</v>
      </c>
      <c r="C445" s="8">
        <v>0</v>
      </c>
      <c r="D445" s="8">
        <v>648.40160000000003</v>
      </c>
      <c r="E445" s="8">
        <v>8010.2498999999998</v>
      </c>
    </row>
    <row r="446" spans="1:5">
      <c r="A446" s="7" t="s">
        <v>345</v>
      </c>
      <c r="B446" s="7" t="s">
        <v>558</v>
      </c>
      <c r="C446" s="8">
        <v>0</v>
      </c>
      <c r="D446" s="8">
        <v>372.29790000000003</v>
      </c>
      <c r="E446" s="8">
        <v>11020.6978</v>
      </c>
    </row>
    <row r="447" spans="1:5">
      <c r="A447" s="7" t="s">
        <v>345</v>
      </c>
      <c r="B447" s="7" t="s">
        <v>560</v>
      </c>
      <c r="C447" s="8">
        <v>0</v>
      </c>
      <c r="D447" s="8">
        <v>171.64400000000001</v>
      </c>
      <c r="E447" s="8">
        <v>21643.5648</v>
      </c>
    </row>
    <row r="448" spans="1:5">
      <c r="A448" s="7" t="s">
        <v>345</v>
      </c>
      <c r="B448" s="7" t="s">
        <v>561</v>
      </c>
      <c r="C448" s="8">
        <v>0</v>
      </c>
      <c r="D448" s="8">
        <v>716.24289999999996</v>
      </c>
      <c r="E448" s="8">
        <v>22359.807700000001</v>
      </c>
    </row>
    <row r="449" spans="1:5">
      <c r="A449" s="7" t="s">
        <v>345</v>
      </c>
      <c r="B449" s="7" t="s">
        <v>562</v>
      </c>
      <c r="C449" s="8">
        <v>0</v>
      </c>
      <c r="D449" s="8">
        <v>1962.3703</v>
      </c>
      <c r="E449" s="8">
        <v>24322.177899999999</v>
      </c>
    </row>
    <row r="450" spans="1:5">
      <c r="A450" s="7" t="s">
        <v>345</v>
      </c>
      <c r="B450" s="7" t="s">
        <v>563</v>
      </c>
      <c r="C450" s="8">
        <v>0</v>
      </c>
      <c r="D450" s="8">
        <v>3380.1514000000002</v>
      </c>
      <c r="E450" s="8">
        <v>27702.329300000001</v>
      </c>
    </row>
    <row r="451" spans="1:5">
      <c r="A451" s="7" t="s">
        <v>345</v>
      </c>
      <c r="B451" s="7" t="s">
        <v>564</v>
      </c>
      <c r="C451" s="8">
        <v>0</v>
      </c>
      <c r="D451" s="8">
        <v>916.61869999999999</v>
      </c>
      <c r="E451" s="8">
        <v>28618.948</v>
      </c>
    </row>
    <row r="452" spans="1:5">
      <c r="A452" s="7" t="s">
        <v>345</v>
      </c>
      <c r="B452" s="7" t="s">
        <v>565</v>
      </c>
      <c r="C452" s="8">
        <v>9721.2654999999995</v>
      </c>
      <c r="D452" s="8">
        <v>0</v>
      </c>
      <c r="E452" s="8">
        <v>18897.6826</v>
      </c>
    </row>
    <row r="453" spans="1:5">
      <c r="A453" s="7" t="s">
        <v>345</v>
      </c>
      <c r="B453" s="7" t="s">
        <v>566</v>
      </c>
      <c r="C453" s="8">
        <v>2907.8444</v>
      </c>
      <c r="D453" s="8">
        <v>0</v>
      </c>
      <c r="E453" s="8">
        <v>15989.8382</v>
      </c>
    </row>
    <row r="454" spans="1:5">
      <c r="A454" s="7" t="s">
        <v>345</v>
      </c>
      <c r="B454" s="7" t="s">
        <v>567</v>
      </c>
      <c r="C454" s="8">
        <v>0</v>
      </c>
      <c r="D454" s="8">
        <v>1692.4607000000001</v>
      </c>
      <c r="E454" s="8">
        <v>22682.2988</v>
      </c>
    </row>
    <row r="455" spans="1:5">
      <c r="A455" s="7" t="s">
        <v>345</v>
      </c>
      <c r="B455" s="7" t="s">
        <v>568</v>
      </c>
      <c r="C455" s="8">
        <v>0</v>
      </c>
      <c r="D455" s="8">
        <v>4219.6067999999996</v>
      </c>
      <c r="E455" s="8">
        <v>26901.905699999999</v>
      </c>
    </row>
    <row r="456" spans="1:5">
      <c r="A456" s="7" t="s">
        <v>345</v>
      </c>
      <c r="B456" s="7" t="s">
        <v>569</v>
      </c>
      <c r="C456" s="8">
        <v>0</v>
      </c>
      <c r="D456" s="8">
        <v>1952.8606</v>
      </c>
      <c r="E456" s="8">
        <v>28854.766299999999</v>
      </c>
    </row>
    <row r="457" spans="1:5">
      <c r="A457" s="7" t="s">
        <v>345</v>
      </c>
      <c r="B457" s="7" t="s">
        <v>570</v>
      </c>
      <c r="C457" s="8">
        <v>0</v>
      </c>
      <c r="D457" s="8">
        <v>384.03809999999999</v>
      </c>
      <c r="E457" s="8">
        <v>29238.804400000001</v>
      </c>
    </row>
    <row r="458" spans="1:5">
      <c r="A458" s="7" t="s">
        <v>345</v>
      </c>
      <c r="B458" s="7" t="s">
        <v>571</v>
      </c>
      <c r="C458" s="8">
        <v>0</v>
      </c>
      <c r="D458" s="8">
        <v>1774.9077</v>
      </c>
      <c r="E458" s="8">
        <v>31013.712100000001</v>
      </c>
    </row>
    <row r="459" spans="1:5">
      <c r="A459" s="7" t="s">
        <v>345</v>
      </c>
      <c r="B459" s="7" t="s">
        <v>572</v>
      </c>
      <c r="C459" s="8">
        <v>553.65509999999995</v>
      </c>
      <c r="D459" s="8">
        <v>0</v>
      </c>
      <c r="E459" s="8">
        <v>30460.0569</v>
      </c>
    </row>
    <row r="460" spans="1:5">
      <c r="A460" s="7" t="s">
        <v>345</v>
      </c>
      <c r="B460" s="7" t="s">
        <v>573</v>
      </c>
      <c r="C460" s="8">
        <v>0</v>
      </c>
      <c r="D460" s="8">
        <v>1037.2492</v>
      </c>
      <c r="E460" s="8">
        <v>31497.306199999999</v>
      </c>
    </row>
    <row r="461" spans="1:5">
      <c r="A461" s="7" t="s">
        <v>345</v>
      </c>
      <c r="B461" s="7" t="s">
        <v>574</v>
      </c>
      <c r="C461" s="8">
        <v>0</v>
      </c>
      <c r="D461" s="8">
        <v>1595.0138999999999</v>
      </c>
      <c r="E461" s="8">
        <v>33092.320099999997</v>
      </c>
    </row>
    <row r="462" spans="1:5">
      <c r="A462" s="7" t="s">
        <v>345</v>
      </c>
      <c r="B462" s="7" t="s">
        <v>575</v>
      </c>
      <c r="C462" s="8">
        <v>0</v>
      </c>
      <c r="D462" s="8">
        <v>2733.2804000000001</v>
      </c>
      <c r="E462" s="8">
        <v>35825.6005</v>
      </c>
    </row>
    <row r="463" spans="1:5">
      <c r="A463" s="7" t="s">
        <v>345</v>
      </c>
      <c r="B463" s="7" t="s">
        <v>576</v>
      </c>
      <c r="C463" s="8">
        <v>11968.5635</v>
      </c>
      <c r="D463" s="8">
        <v>0</v>
      </c>
      <c r="E463" s="8">
        <v>23857.037100000001</v>
      </c>
    </row>
    <row r="464" spans="1:5">
      <c r="A464" s="7" t="s">
        <v>345</v>
      </c>
      <c r="B464" s="7" t="s">
        <v>577</v>
      </c>
      <c r="C464" s="8">
        <v>4711.6288000000004</v>
      </c>
      <c r="D464" s="8">
        <v>0</v>
      </c>
      <c r="E464" s="8">
        <v>19145.408200000002</v>
      </c>
    </row>
    <row r="465" spans="1:5">
      <c r="A465" s="7" t="s">
        <v>345</v>
      </c>
      <c r="B465" s="7" t="s">
        <v>578</v>
      </c>
      <c r="C465" s="8">
        <v>7355.4202999999998</v>
      </c>
      <c r="D465" s="8">
        <v>0</v>
      </c>
      <c r="E465" s="8">
        <v>11789.9879</v>
      </c>
    </row>
    <row r="466" spans="1:5">
      <c r="A466" s="7" t="s">
        <v>345</v>
      </c>
      <c r="B466" s="7" t="s">
        <v>579</v>
      </c>
      <c r="C466" s="8">
        <v>131.47819999999999</v>
      </c>
      <c r="D466" s="8">
        <v>0</v>
      </c>
      <c r="E466" s="8">
        <v>11658.509700000001</v>
      </c>
    </row>
    <row r="467" spans="1:5">
      <c r="A467" s="7" t="s">
        <v>345</v>
      </c>
      <c r="B467" s="7" t="s">
        <v>580</v>
      </c>
      <c r="C467" s="8">
        <v>0</v>
      </c>
      <c r="D467" s="8">
        <v>378.31119999999999</v>
      </c>
      <c r="E467" s="8">
        <v>12036.820900000001</v>
      </c>
    </row>
    <row r="468" spans="1:5">
      <c r="A468" s="7" t="s">
        <v>345</v>
      </c>
      <c r="B468" s="7" t="s">
        <v>581</v>
      </c>
      <c r="C468" s="8">
        <v>0</v>
      </c>
      <c r="D468" s="8">
        <v>490.7978</v>
      </c>
      <c r="E468" s="8">
        <v>12527.618700000001</v>
      </c>
    </row>
    <row r="469" spans="1:5">
      <c r="A469" s="7" t="s">
        <v>345</v>
      </c>
      <c r="B469" s="7" t="s">
        <v>582</v>
      </c>
      <c r="C469" s="8">
        <v>0</v>
      </c>
      <c r="D469" s="8">
        <v>1318.4340999999999</v>
      </c>
      <c r="E469" s="8">
        <v>13846.0527</v>
      </c>
    </row>
    <row r="470" spans="1:5">
      <c r="A470" s="7" t="s">
        <v>345</v>
      </c>
      <c r="B470" s="7" t="s">
        <v>583</v>
      </c>
      <c r="C470" s="8">
        <v>0</v>
      </c>
      <c r="D470" s="8">
        <v>773.34979999999996</v>
      </c>
      <c r="E470" s="8">
        <v>14619.4025</v>
      </c>
    </row>
    <row r="471" spans="1:5">
      <c r="A471" s="7" t="s">
        <v>345</v>
      </c>
      <c r="B471" s="7" t="s">
        <v>584</v>
      </c>
      <c r="C471" s="8">
        <v>1248.3561999999999</v>
      </c>
      <c r="D471" s="8">
        <v>0</v>
      </c>
      <c r="E471" s="8">
        <v>13371.046399999999</v>
      </c>
    </row>
    <row r="472" spans="1:5">
      <c r="A472" s="7" t="s">
        <v>345</v>
      </c>
      <c r="B472" s="7" t="s">
        <v>585</v>
      </c>
      <c r="C472" s="8">
        <v>67.996200000000002</v>
      </c>
      <c r="D472" s="8">
        <v>0</v>
      </c>
      <c r="E472" s="8">
        <v>13303.0502</v>
      </c>
    </row>
    <row r="473" spans="1:5">
      <c r="A473" s="7" t="s">
        <v>345</v>
      </c>
      <c r="B473" s="7" t="s">
        <v>586</v>
      </c>
      <c r="C473" s="8">
        <v>584.20180000000005</v>
      </c>
      <c r="D473" s="8">
        <v>0</v>
      </c>
      <c r="E473" s="8">
        <v>12718.8483</v>
      </c>
    </row>
    <row r="474" spans="1:5">
      <c r="A474" s="7" t="s">
        <v>345</v>
      </c>
      <c r="B474" s="7" t="s">
        <v>587</v>
      </c>
      <c r="C474" s="8">
        <v>0</v>
      </c>
      <c r="D474" s="8">
        <v>1664.5328999999999</v>
      </c>
      <c r="E474" s="8">
        <v>14383.381299999999</v>
      </c>
    </row>
    <row r="475" spans="1:5">
      <c r="A475" s="7" t="s">
        <v>345</v>
      </c>
      <c r="B475" s="7" t="s">
        <v>588</v>
      </c>
      <c r="C475" s="8">
        <v>0</v>
      </c>
      <c r="D475" s="8">
        <v>1176.1646000000001</v>
      </c>
      <c r="E475" s="8">
        <v>15559.545899999999</v>
      </c>
    </row>
    <row r="476" spans="1:5">
      <c r="A476" s="7" t="s">
        <v>345</v>
      </c>
      <c r="B476" s="7" t="s">
        <v>589</v>
      </c>
      <c r="C476" s="8">
        <v>549.0806</v>
      </c>
      <c r="D476" s="8">
        <v>0</v>
      </c>
      <c r="E476" s="8">
        <v>15010.4653</v>
      </c>
    </row>
    <row r="477" spans="1:5">
      <c r="A477" s="7" t="s">
        <v>345</v>
      </c>
      <c r="B477" s="7" t="s">
        <v>590</v>
      </c>
      <c r="C477" s="8">
        <v>2587.5934000000002</v>
      </c>
      <c r="D477" s="8">
        <v>0</v>
      </c>
      <c r="E477" s="8">
        <v>12422.8719</v>
      </c>
    </row>
    <row r="478" spans="1:5">
      <c r="A478" s="7" t="s">
        <v>345</v>
      </c>
      <c r="B478" s="7" t="s">
        <v>591</v>
      </c>
      <c r="C478" s="8">
        <v>0</v>
      </c>
      <c r="D478" s="8">
        <v>1315.8628000000001</v>
      </c>
      <c r="E478" s="8">
        <v>13738.7346</v>
      </c>
    </row>
    <row r="479" spans="1:5">
      <c r="A479" s="7" t="s">
        <v>345</v>
      </c>
      <c r="B479" s="7" t="s">
        <v>592</v>
      </c>
      <c r="C479" s="8">
        <v>701.1848</v>
      </c>
      <c r="D479" s="8">
        <v>0</v>
      </c>
      <c r="E479" s="8">
        <v>13037.549800000001</v>
      </c>
    </row>
    <row r="480" spans="1:5">
      <c r="A480" s="7" t="s">
        <v>345</v>
      </c>
      <c r="B480" s="7" t="s">
        <v>593</v>
      </c>
      <c r="C480" s="8">
        <v>0</v>
      </c>
      <c r="D480" s="8">
        <v>858.68539999999996</v>
      </c>
      <c r="E480" s="8">
        <v>13896.235199999999</v>
      </c>
    </row>
    <row r="481" spans="1:5">
      <c r="A481" s="7" t="s">
        <v>345</v>
      </c>
      <c r="B481" s="7" t="s">
        <v>594</v>
      </c>
      <c r="C481" s="8">
        <v>0</v>
      </c>
      <c r="D481" s="8">
        <v>1015.0812</v>
      </c>
      <c r="E481" s="8">
        <v>14911.316500000001</v>
      </c>
    </row>
    <row r="482" spans="1:5">
      <c r="A482" s="7" t="s">
        <v>345</v>
      </c>
      <c r="B482" s="7" t="s">
        <v>595</v>
      </c>
      <c r="C482" s="8">
        <v>0</v>
      </c>
      <c r="D482" s="8">
        <v>808.16750000000002</v>
      </c>
      <c r="E482" s="8">
        <v>15719.484</v>
      </c>
    </row>
    <row r="483" spans="1:5">
      <c r="A483" s="7" t="s">
        <v>345</v>
      </c>
      <c r="B483" s="7" t="s">
        <v>596</v>
      </c>
      <c r="C483" s="8">
        <v>0</v>
      </c>
      <c r="D483" s="8">
        <v>229.07509999999999</v>
      </c>
      <c r="E483" s="8">
        <v>15948.5591</v>
      </c>
    </row>
    <row r="484" spans="1:5">
      <c r="A484" s="7" t="s">
        <v>345</v>
      </c>
      <c r="B484" s="7" t="s">
        <v>597</v>
      </c>
      <c r="C484" s="8">
        <v>0</v>
      </c>
      <c r="D484" s="8">
        <v>325.50689999999997</v>
      </c>
      <c r="E484" s="8">
        <v>16274.066000000001</v>
      </c>
    </row>
    <row r="485" spans="1:5">
      <c r="A485" s="7" t="s">
        <v>345</v>
      </c>
      <c r="B485" s="7" t="s">
        <v>598</v>
      </c>
      <c r="C485" s="8">
        <v>0</v>
      </c>
      <c r="D485" s="8">
        <v>599.83159999999998</v>
      </c>
      <c r="E485" s="8">
        <v>16873.8976</v>
      </c>
    </row>
    <row r="486" spans="1:5">
      <c r="A486" s="7" t="s">
        <v>345</v>
      </c>
      <c r="B486" s="7" t="s">
        <v>599</v>
      </c>
      <c r="C486" s="8">
        <v>2902.5830999999998</v>
      </c>
      <c r="D486" s="8">
        <v>0</v>
      </c>
      <c r="E486" s="8">
        <v>13971.3145</v>
      </c>
    </row>
    <row r="487" spans="1:5">
      <c r="A487" s="7" t="s">
        <v>345</v>
      </c>
      <c r="B487" s="7" t="s">
        <v>600</v>
      </c>
      <c r="C487" s="8">
        <v>0</v>
      </c>
      <c r="D487" s="8">
        <v>328.51139999999998</v>
      </c>
      <c r="E487" s="8">
        <v>14299.825800000001</v>
      </c>
    </row>
    <row r="488" spans="1:5">
      <c r="A488" s="7" t="s">
        <v>345</v>
      </c>
      <c r="B488" s="7" t="s">
        <v>601</v>
      </c>
      <c r="C488" s="8">
        <v>0</v>
      </c>
      <c r="D488" s="8">
        <v>5279.4733999999999</v>
      </c>
      <c r="E488" s="8">
        <v>19579.299299999999</v>
      </c>
    </row>
    <row r="489" spans="1:5">
      <c r="A489" s="7" t="s">
        <v>345</v>
      </c>
      <c r="B489" s="7" t="s">
        <v>602</v>
      </c>
      <c r="C489" s="8">
        <v>0</v>
      </c>
      <c r="D489" s="8">
        <v>430.72050000000002</v>
      </c>
      <c r="E489" s="8">
        <v>20010.019799999998</v>
      </c>
    </row>
    <row r="490" spans="1:5">
      <c r="A490" s="7" t="s">
        <v>345</v>
      </c>
      <c r="B490" s="7" t="s">
        <v>603</v>
      </c>
      <c r="C490" s="8">
        <v>0</v>
      </c>
      <c r="D490" s="8">
        <v>679.2835</v>
      </c>
      <c r="E490" s="8">
        <v>20689.3033</v>
      </c>
    </row>
    <row r="491" spans="1:5">
      <c r="A491" s="7" t="s">
        <v>345</v>
      </c>
      <c r="B491" s="7" t="s">
        <v>604</v>
      </c>
      <c r="C491" s="8">
        <v>181.42160000000001</v>
      </c>
      <c r="D491" s="8">
        <v>0</v>
      </c>
      <c r="E491" s="8">
        <v>20507.881700000002</v>
      </c>
    </row>
    <row r="492" spans="1:5">
      <c r="A492" s="7" t="s">
        <v>345</v>
      </c>
      <c r="B492" s="7" t="s">
        <v>605</v>
      </c>
      <c r="C492" s="8">
        <v>0</v>
      </c>
      <c r="D492" s="8">
        <v>1031.2445</v>
      </c>
      <c r="E492" s="8">
        <v>21539.1263</v>
      </c>
    </row>
    <row r="493" spans="1:5">
      <c r="A493" s="7" t="s">
        <v>345</v>
      </c>
      <c r="B493" s="7" t="s">
        <v>559</v>
      </c>
      <c r="C493" s="8">
        <v>0</v>
      </c>
      <c r="D493" s="8">
        <v>451.22300000000001</v>
      </c>
      <c r="E493" s="8">
        <v>21471.9208</v>
      </c>
    </row>
    <row r="494" spans="1:5">
      <c r="A494" s="7" t="s">
        <v>345</v>
      </c>
      <c r="B494" s="7" t="s">
        <v>606</v>
      </c>
      <c r="C494" s="8">
        <v>0</v>
      </c>
      <c r="D494" s="8">
        <v>5746.3375999999998</v>
      </c>
      <c r="E494" s="8">
        <v>27285.463899999999</v>
      </c>
    </row>
    <row r="495" spans="1:5">
      <c r="A495" s="7" t="s">
        <v>345</v>
      </c>
      <c r="B495" s="7" t="s">
        <v>607</v>
      </c>
      <c r="C495" s="8">
        <v>0</v>
      </c>
      <c r="D495" s="8">
        <v>1082.883</v>
      </c>
      <c r="E495" s="8">
        <v>26829.216899999999</v>
      </c>
    </row>
    <row r="496" spans="1:5">
      <c r="A496" s="7" t="s">
        <v>345</v>
      </c>
      <c r="B496" s="7" t="s">
        <v>608</v>
      </c>
      <c r="C496" s="8">
        <v>0</v>
      </c>
      <c r="D496" s="8">
        <v>219.44560000000001</v>
      </c>
      <c r="E496" s="8">
        <v>21302.662499999999</v>
      </c>
    </row>
    <row r="497" spans="1:5">
      <c r="A497" s="7" t="s">
        <v>609</v>
      </c>
      <c r="B497" s="7" t="s">
        <v>608</v>
      </c>
      <c r="C497" s="8">
        <v>5460.5239000000001</v>
      </c>
      <c r="D497" s="8">
        <v>0</v>
      </c>
      <c r="E497" s="8">
        <v>15842.1386</v>
      </c>
    </row>
    <row r="498" spans="1:5">
      <c r="A498" s="7" t="s">
        <v>345</v>
      </c>
      <c r="B498" s="7" t="s">
        <v>610</v>
      </c>
      <c r="C498" s="8">
        <v>1001.4901</v>
      </c>
      <c r="D498" s="8">
        <v>0</v>
      </c>
      <c r="E498" s="8">
        <v>14840.648499999999</v>
      </c>
    </row>
    <row r="499" spans="1:5">
      <c r="A499" s="7" t="s">
        <v>345</v>
      </c>
      <c r="B499" s="7" t="s">
        <v>611</v>
      </c>
      <c r="C499" s="8">
        <v>0</v>
      </c>
      <c r="D499" s="8">
        <v>979.38520000000005</v>
      </c>
      <c r="E499" s="8">
        <v>15820.0337</v>
      </c>
    </row>
    <row r="500" spans="1:5">
      <c r="A500" s="7" t="s">
        <v>345</v>
      </c>
      <c r="B500" s="7" t="s">
        <v>612</v>
      </c>
      <c r="C500" s="8">
        <v>0</v>
      </c>
      <c r="D500" s="8">
        <v>2897.2869999999998</v>
      </c>
      <c r="E500" s="8">
        <v>18717.320800000001</v>
      </c>
    </row>
    <row r="501" spans="1:5">
      <c r="A501" s="7" t="s">
        <v>345</v>
      </c>
      <c r="B501" s="7" t="s">
        <v>613</v>
      </c>
      <c r="C501" s="8">
        <v>0</v>
      </c>
      <c r="D501" s="8">
        <v>1322.1039000000001</v>
      </c>
      <c r="E501" s="8">
        <v>20039.424599999998</v>
      </c>
    </row>
    <row r="502" spans="1:5">
      <c r="A502" s="7" t="s">
        <v>614</v>
      </c>
      <c r="B502" s="7" t="s">
        <v>613</v>
      </c>
      <c r="C502" s="8">
        <v>3892.2429999999999</v>
      </c>
      <c r="D502" s="8">
        <v>0</v>
      </c>
      <c r="E502" s="8">
        <v>16147.1816</v>
      </c>
    </row>
    <row r="503" spans="1:5">
      <c r="A503" s="7" t="s">
        <v>615</v>
      </c>
      <c r="B503" s="7" t="s">
        <v>616</v>
      </c>
      <c r="C503" s="8">
        <v>59</v>
      </c>
      <c r="D503" s="8">
        <v>0</v>
      </c>
      <c r="E503" s="8">
        <v>18151.535400000001</v>
      </c>
    </row>
    <row r="504" spans="1:5">
      <c r="A504" s="7" t="s">
        <v>617</v>
      </c>
      <c r="B504" s="7" t="s">
        <v>616</v>
      </c>
      <c r="C504" s="8">
        <v>15.93</v>
      </c>
      <c r="D504" s="8">
        <v>0</v>
      </c>
      <c r="E504" s="8">
        <v>-3490.1882999999998</v>
      </c>
    </row>
    <row r="505" spans="1:5">
      <c r="A505" s="7" t="s">
        <v>618</v>
      </c>
      <c r="B505" s="7" t="s">
        <v>616</v>
      </c>
      <c r="C505" s="8">
        <v>0</v>
      </c>
      <c r="D505" s="8">
        <v>1700.7237</v>
      </c>
      <c r="E505" s="8">
        <v>18210.535400000001</v>
      </c>
    </row>
    <row r="506" spans="1:5">
      <c r="A506" s="7" t="s">
        <v>345</v>
      </c>
      <c r="B506" s="7" t="s">
        <v>616</v>
      </c>
      <c r="C506" s="8">
        <v>4796.3599000000004</v>
      </c>
      <c r="D506" s="8">
        <v>0</v>
      </c>
      <c r="E506" s="8">
        <v>-3474.2583</v>
      </c>
    </row>
    <row r="507" spans="1:5">
      <c r="A507" s="7" t="s">
        <v>345</v>
      </c>
      <c r="B507" s="7" t="s">
        <v>619</v>
      </c>
      <c r="C507" s="8">
        <v>5266.2466999999997</v>
      </c>
      <c r="D507" s="8">
        <v>0</v>
      </c>
      <c r="E507" s="8">
        <v>22885.288700000001</v>
      </c>
    </row>
    <row r="508" spans="1:5">
      <c r="A508" s="7" t="s">
        <v>620</v>
      </c>
      <c r="B508" s="7" t="s">
        <v>619</v>
      </c>
      <c r="C508" s="8">
        <v>15.93</v>
      </c>
      <c r="D508" s="8">
        <v>0</v>
      </c>
      <c r="E508" s="8">
        <v>22869.358700000001</v>
      </c>
    </row>
    <row r="509" spans="1:5">
      <c r="A509" s="7" t="s">
        <v>621</v>
      </c>
      <c r="B509" s="7" t="s">
        <v>619</v>
      </c>
      <c r="C509" s="8">
        <v>15.93</v>
      </c>
      <c r="D509" s="8">
        <v>0</v>
      </c>
      <c r="E509" s="8">
        <v>22853.4287</v>
      </c>
    </row>
    <row r="510" spans="1:5">
      <c r="A510" s="7" t="s">
        <v>623</v>
      </c>
      <c r="B510" s="7" t="s">
        <v>622</v>
      </c>
      <c r="C510" s="8">
        <v>15.93</v>
      </c>
      <c r="D510" s="8">
        <v>0</v>
      </c>
      <c r="E510" s="8">
        <v>19984.798699999999</v>
      </c>
    </row>
    <row r="511" spans="1:5">
      <c r="A511" s="7" t="s">
        <v>624</v>
      </c>
      <c r="B511" s="7" t="s">
        <v>622</v>
      </c>
      <c r="C511" s="8">
        <v>15.93</v>
      </c>
      <c r="D511" s="8">
        <v>0</v>
      </c>
      <c r="E511" s="8">
        <v>19968.868699999999</v>
      </c>
    </row>
    <row r="512" spans="1:5">
      <c r="A512" s="7" t="s">
        <v>625</v>
      </c>
      <c r="B512" s="7" t="s">
        <v>622</v>
      </c>
      <c r="C512" s="8">
        <v>15.93</v>
      </c>
      <c r="D512" s="8">
        <v>0</v>
      </c>
      <c r="E512" s="8">
        <v>19952.938699999999</v>
      </c>
    </row>
    <row r="513" spans="1:5">
      <c r="A513" s="7" t="s">
        <v>626</v>
      </c>
      <c r="B513" s="7" t="s">
        <v>622</v>
      </c>
      <c r="C513" s="8">
        <v>15.93</v>
      </c>
      <c r="D513" s="8">
        <v>0</v>
      </c>
      <c r="E513" s="8">
        <v>19937.008699999998</v>
      </c>
    </row>
    <row r="514" spans="1:5">
      <c r="A514" s="7" t="s">
        <v>627</v>
      </c>
      <c r="B514" s="7" t="s">
        <v>622</v>
      </c>
      <c r="C514" s="8">
        <v>0</v>
      </c>
      <c r="D514" s="8">
        <v>3463.5988000000002</v>
      </c>
      <c r="E514" s="8">
        <v>23400.607499999998</v>
      </c>
    </row>
    <row r="515" spans="1:5">
      <c r="A515" s="7" t="s">
        <v>345</v>
      </c>
      <c r="B515" s="7" t="s">
        <v>622</v>
      </c>
      <c r="C515" s="8">
        <v>7640.5645000000004</v>
      </c>
      <c r="D515" s="8">
        <v>0</v>
      </c>
      <c r="E515" s="8">
        <v>15760.043100000001</v>
      </c>
    </row>
    <row r="516" spans="1:5">
      <c r="A516" s="7" t="s">
        <v>628</v>
      </c>
      <c r="B516" s="7" t="s">
        <v>629</v>
      </c>
      <c r="C516" s="8">
        <v>15.93</v>
      </c>
      <c r="D516" s="8">
        <v>0</v>
      </c>
      <c r="E516" s="8">
        <v>10522.967000000001</v>
      </c>
    </row>
    <row r="517" spans="1:5">
      <c r="A517" s="7" t="s">
        <v>630</v>
      </c>
      <c r="B517" s="7" t="s">
        <v>629</v>
      </c>
      <c r="C517" s="8">
        <v>15.93</v>
      </c>
      <c r="D517" s="8">
        <v>0</v>
      </c>
      <c r="E517" s="8">
        <v>14828.571599999999</v>
      </c>
    </row>
    <row r="518" spans="1:5">
      <c r="A518" s="7" t="s">
        <v>631</v>
      </c>
      <c r="B518" s="7" t="s">
        <v>629</v>
      </c>
      <c r="C518" s="8">
        <v>15.93</v>
      </c>
      <c r="D518" s="8">
        <v>0</v>
      </c>
      <c r="E518" s="8">
        <v>10618.547</v>
      </c>
    </row>
    <row r="519" spans="1:5">
      <c r="A519" s="7" t="s">
        <v>632</v>
      </c>
      <c r="B519" s="7" t="s">
        <v>629</v>
      </c>
      <c r="C519" s="8">
        <v>15.93</v>
      </c>
      <c r="D519" s="8">
        <v>0</v>
      </c>
      <c r="E519" s="8">
        <v>10602.617</v>
      </c>
    </row>
    <row r="520" spans="1:5">
      <c r="A520" s="7" t="s">
        <v>633</v>
      </c>
      <c r="B520" s="7" t="s">
        <v>629</v>
      </c>
      <c r="C520" s="8">
        <v>15.93</v>
      </c>
      <c r="D520" s="8">
        <v>0</v>
      </c>
      <c r="E520" s="8">
        <v>10586.687</v>
      </c>
    </row>
    <row r="521" spans="1:5">
      <c r="A521" s="7" t="s">
        <v>634</v>
      </c>
      <c r="B521" s="7" t="s">
        <v>629</v>
      </c>
      <c r="C521" s="8">
        <v>15.93</v>
      </c>
      <c r="D521" s="8">
        <v>0</v>
      </c>
      <c r="E521" s="8">
        <v>10570.757</v>
      </c>
    </row>
    <row r="522" spans="1:5">
      <c r="A522" s="7" t="s">
        <v>635</v>
      </c>
      <c r="B522" s="7" t="s">
        <v>629</v>
      </c>
      <c r="C522" s="8">
        <v>15.93</v>
      </c>
      <c r="D522" s="8">
        <v>0</v>
      </c>
      <c r="E522" s="8">
        <v>10554.826999999999</v>
      </c>
    </row>
    <row r="523" spans="1:5">
      <c r="A523" s="7" t="s">
        <v>636</v>
      </c>
      <c r="B523" s="7" t="s">
        <v>629</v>
      </c>
      <c r="C523" s="8">
        <v>15.93</v>
      </c>
      <c r="D523" s="8">
        <v>0</v>
      </c>
      <c r="E523" s="8">
        <v>10538.897000000001</v>
      </c>
    </row>
    <row r="524" spans="1:5">
      <c r="A524" s="7" t="s">
        <v>637</v>
      </c>
      <c r="B524" s="7" t="s">
        <v>629</v>
      </c>
      <c r="C524" s="8">
        <v>15.93</v>
      </c>
      <c r="D524" s="8">
        <v>0</v>
      </c>
      <c r="E524" s="8">
        <v>15744.1131</v>
      </c>
    </row>
    <row r="525" spans="1:5">
      <c r="A525" s="7" t="s">
        <v>638</v>
      </c>
      <c r="B525" s="7" t="s">
        <v>629</v>
      </c>
      <c r="C525" s="8">
        <v>15.93</v>
      </c>
      <c r="D525" s="8">
        <v>0</v>
      </c>
      <c r="E525" s="8">
        <v>10507.037</v>
      </c>
    </row>
    <row r="526" spans="1:5">
      <c r="A526" s="7" t="s">
        <v>639</v>
      </c>
      <c r="B526" s="7" t="s">
        <v>629</v>
      </c>
      <c r="C526" s="8">
        <v>15.93</v>
      </c>
      <c r="D526" s="8">
        <v>0</v>
      </c>
      <c r="E526" s="8">
        <v>10491.107</v>
      </c>
    </row>
    <row r="527" spans="1:5">
      <c r="A527" s="7" t="s">
        <v>640</v>
      </c>
      <c r="B527" s="7" t="s">
        <v>629</v>
      </c>
      <c r="C527" s="8">
        <v>15.93</v>
      </c>
      <c r="D527" s="8">
        <v>0</v>
      </c>
      <c r="E527" s="8">
        <v>10475.177</v>
      </c>
    </row>
    <row r="528" spans="1:5">
      <c r="A528" s="7" t="s">
        <v>641</v>
      </c>
      <c r="B528" s="7" t="s">
        <v>629</v>
      </c>
      <c r="C528" s="8">
        <v>15.93</v>
      </c>
      <c r="D528" s="8">
        <v>0</v>
      </c>
      <c r="E528" s="8">
        <v>10459.246999999999</v>
      </c>
    </row>
    <row r="529" spans="1:5">
      <c r="A529" s="7" t="s">
        <v>642</v>
      </c>
      <c r="B529" s="7" t="s">
        <v>629</v>
      </c>
      <c r="C529" s="8">
        <v>15.93</v>
      </c>
      <c r="D529" s="8">
        <v>0</v>
      </c>
      <c r="E529" s="8">
        <v>10443.316999999999</v>
      </c>
    </row>
    <row r="530" spans="1:5">
      <c r="A530" s="7" t="s">
        <v>643</v>
      </c>
      <c r="B530" s="7" t="s">
        <v>629</v>
      </c>
      <c r="C530" s="8">
        <v>15.93</v>
      </c>
      <c r="D530" s="8">
        <v>0</v>
      </c>
      <c r="E530" s="8">
        <v>10427.387000000001</v>
      </c>
    </row>
    <row r="531" spans="1:5">
      <c r="A531" s="7" t="s">
        <v>644</v>
      </c>
      <c r="B531" s="7" t="s">
        <v>629</v>
      </c>
      <c r="C531" s="8">
        <v>15.93</v>
      </c>
      <c r="D531" s="8">
        <v>0</v>
      </c>
      <c r="E531" s="8">
        <v>10411.457</v>
      </c>
    </row>
    <row r="532" spans="1:5">
      <c r="A532" s="7" t="s">
        <v>645</v>
      </c>
      <c r="B532" s="7" t="s">
        <v>629</v>
      </c>
      <c r="C532" s="8">
        <v>15.93</v>
      </c>
      <c r="D532" s="8">
        <v>0</v>
      </c>
      <c r="E532" s="8">
        <v>10395.527</v>
      </c>
    </row>
    <row r="533" spans="1:5">
      <c r="A533" s="7" t="s">
        <v>646</v>
      </c>
      <c r="B533" s="7" t="s">
        <v>629</v>
      </c>
      <c r="C533" s="8">
        <v>15.93</v>
      </c>
      <c r="D533" s="8">
        <v>0</v>
      </c>
      <c r="E533" s="8">
        <v>10379.597</v>
      </c>
    </row>
    <row r="534" spans="1:5">
      <c r="A534" s="7" t="s">
        <v>647</v>
      </c>
      <c r="B534" s="7" t="s">
        <v>629</v>
      </c>
      <c r="C534" s="8">
        <v>15.93</v>
      </c>
      <c r="D534" s="8">
        <v>0</v>
      </c>
      <c r="E534" s="8">
        <v>10363.666999999999</v>
      </c>
    </row>
    <row r="535" spans="1:5">
      <c r="A535" s="7" t="s">
        <v>648</v>
      </c>
      <c r="B535" s="7" t="s">
        <v>629</v>
      </c>
      <c r="C535" s="8">
        <v>15.93</v>
      </c>
      <c r="D535" s="8">
        <v>0</v>
      </c>
      <c r="E535" s="8">
        <v>10347.736999999999</v>
      </c>
    </row>
    <row r="536" spans="1:5">
      <c r="A536" s="7" t="s">
        <v>649</v>
      </c>
      <c r="B536" s="7" t="s">
        <v>629</v>
      </c>
      <c r="C536" s="8">
        <v>0</v>
      </c>
      <c r="D536" s="8">
        <v>4496.7646000000004</v>
      </c>
      <c r="E536" s="8">
        <v>14844.5016</v>
      </c>
    </row>
    <row r="537" spans="1:5">
      <c r="A537" s="7" t="s">
        <v>345</v>
      </c>
      <c r="B537" s="7" t="s">
        <v>629</v>
      </c>
      <c r="C537" s="8">
        <v>5109.6360999999997</v>
      </c>
      <c r="D537" s="8">
        <v>0</v>
      </c>
      <c r="E537" s="8">
        <v>10634.477000000001</v>
      </c>
    </row>
    <row r="538" spans="1:5">
      <c r="A538" s="7" t="s">
        <v>345</v>
      </c>
      <c r="B538" s="7" t="s">
        <v>650</v>
      </c>
      <c r="C538" s="8">
        <v>0</v>
      </c>
      <c r="D538" s="8">
        <v>62.146299999999997</v>
      </c>
      <c r="E538" s="8">
        <v>14890.7178</v>
      </c>
    </row>
    <row r="539" spans="1:5">
      <c r="A539" s="7" t="s">
        <v>345</v>
      </c>
      <c r="B539" s="7" t="s">
        <v>651</v>
      </c>
      <c r="C539" s="8">
        <v>0</v>
      </c>
      <c r="D539" s="8">
        <v>3955.1320999999998</v>
      </c>
      <c r="E539" s="8">
        <v>23956.0399</v>
      </c>
    </row>
    <row r="540" spans="1:5">
      <c r="A540" s="7" t="s">
        <v>345</v>
      </c>
      <c r="B540" s="7" t="s">
        <v>652</v>
      </c>
      <c r="C540" s="8">
        <v>0</v>
      </c>
      <c r="D540" s="8">
        <v>1839.5543</v>
      </c>
      <c r="E540" s="8">
        <v>25795.5942</v>
      </c>
    </row>
    <row r="541" spans="1:5">
      <c r="A541" s="7" t="s">
        <v>345</v>
      </c>
      <c r="B541" s="7" t="s">
        <v>653</v>
      </c>
      <c r="C541" s="8">
        <v>0</v>
      </c>
      <c r="D541" s="8">
        <v>2796.8584000000001</v>
      </c>
      <c r="E541" s="8">
        <v>28592.452499999999</v>
      </c>
    </row>
    <row r="542" spans="1:5">
      <c r="A542" s="7" t="s">
        <v>345</v>
      </c>
      <c r="B542" s="7" t="s">
        <v>654</v>
      </c>
      <c r="C542" s="8">
        <v>0</v>
      </c>
      <c r="D542" s="8">
        <v>3850.4342000000001</v>
      </c>
      <c r="E542" s="8">
        <v>32442.886699999999</v>
      </c>
    </row>
    <row r="543" spans="1:5">
      <c r="A543" s="7" t="s">
        <v>345</v>
      </c>
      <c r="B543" s="7" t="s">
        <v>655</v>
      </c>
      <c r="C543" s="8">
        <v>0</v>
      </c>
      <c r="D543" s="8">
        <v>1559.6859999999999</v>
      </c>
      <c r="E543" s="8">
        <v>34002.572699999997</v>
      </c>
    </row>
    <row r="544" spans="1:5">
      <c r="A544" s="7" t="s">
        <v>345</v>
      </c>
      <c r="B544" s="7" t="s">
        <v>656</v>
      </c>
      <c r="C544" s="8">
        <v>0</v>
      </c>
      <c r="D544" s="8">
        <v>1090.0163</v>
      </c>
      <c r="E544" s="8">
        <v>21092.589100000001</v>
      </c>
    </row>
    <row r="545" spans="1:5">
      <c r="A545" s="7" t="s">
        <v>345</v>
      </c>
      <c r="B545" s="7" t="s">
        <v>657</v>
      </c>
      <c r="C545" s="8">
        <v>0</v>
      </c>
      <c r="D545" s="8">
        <v>588.85709999999995</v>
      </c>
      <c r="E545" s="8">
        <v>20681.446199999998</v>
      </c>
    </row>
    <row r="546" spans="1:5">
      <c r="A546" s="7" t="s">
        <v>345</v>
      </c>
      <c r="B546" s="7" t="s">
        <v>658</v>
      </c>
      <c r="C546" s="8">
        <v>0</v>
      </c>
      <c r="D546" s="8">
        <v>931.45550000000003</v>
      </c>
      <c r="E546" s="8">
        <v>21612.901699999999</v>
      </c>
    </row>
    <row r="547" spans="1:5">
      <c r="A547" s="7" t="s">
        <v>345</v>
      </c>
      <c r="B547" s="7" t="s">
        <v>659</v>
      </c>
      <c r="C547" s="8">
        <v>0</v>
      </c>
      <c r="D547" s="8">
        <v>3745.5762</v>
      </c>
      <c r="E547" s="8">
        <v>25358.477900000002</v>
      </c>
    </row>
    <row r="548" spans="1:5">
      <c r="A548" s="7" t="s">
        <v>345</v>
      </c>
      <c r="B548" s="7" t="s">
        <v>660</v>
      </c>
      <c r="C548" s="8">
        <v>0</v>
      </c>
      <c r="D548" s="8">
        <v>1632.6161</v>
      </c>
      <c r="E548" s="8">
        <v>26991.094000000001</v>
      </c>
    </row>
    <row r="549" spans="1:5">
      <c r="A549" s="7" t="s">
        <v>345</v>
      </c>
      <c r="B549" s="7" t="s">
        <v>661</v>
      </c>
      <c r="C549" s="8">
        <v>2341.2114999999999</v>
      </c>
      <c r="D549" s="8">
        <v>0</v>
      </c>
      <c r="E549" s="8">
        <v>22659.882600000001</v>
      </c>
    </row>
    <row r="550" spans="1:5">
      <c r="A550" s="7" t="s">
        <v>662</v>
      </c>
      <c r="B550" s="7" t="s">
        <v>661</v>
      </c>
      <c r="C550" s="8">
        <v>9307.3652000000002</v>
      </c>
      <c r="D550" s="8">
        <v>0</v>
      </c>
      <c r="E550" s="8">
        <v>13352.5173</v>
      </c>
    </row>
    <row r="551" spans="1:5">
      <c r="A551" s="7" t="s">
        <v>345</v>
      </c>
      <c r="B551" s="7" t="s">
        <v>663</v>
      </c>
      <c r="C551" s="8">
        <v>0</v>
      </c>
      <c r="D551" s="8">
        <v>862.0856</v>
      </c>
      <c r="E551" s="8">
        <v>14214.6029</v>
      </c>
    </row>
    <row r="552" spans="1:5">
      <c r="A552" s="7" t="s">
        <v>345</v>
      </c>
      <c r="B552" s="7" t="s">
        <v>664</v>
      </c>
      <c r="C552" s="8">
        <v>199.2141</v>
      </c>
      <c r="D552" s="8">
        <v>0</v>
      </c>
      <c r="E552" s="8">
        <v>14015.3887</v>
      </c>
    </row>
    <row r="553" spans="1:5">
      <c r="A553" s="7" t="s">
        <v>345</v>
      </c>
      <c r="B553" s="7" t="s">
        <v>665</v>
      </c>
      <c r="C553" s="8">
        <v>679.66070000000002</v>
      </c>
      <c r="D553" s="8">
        <v>0</v>
      </c>
      <c r="E553" s="8">
        <v>13335.7281</v>
      </c>
    </row>
    <row r="554" spans="1:5">
      <c r="A554" s="7" t="s">
        <v>667</v>
      </c>
      <c r="B554" s="7" t="s">
        <v>666</v>
      </c>
      <c r="C554" s="8">
        <v>701.78679999999997</v>
      </c>
      <c r="D554" s="8">
        <v>0</v>
      </c>
      <c r="E554" s="8">
        <v>24633.941299999999</v>
      </c>
    </row>
    <row r="555" spans="1:5">
      <c r="A555" s="7" t="s">
        <v>345</v>
      </c>
      <c r="B555" s="7" t="s">
        <v>666</v>
      </c>
      <c r="C555" s="8">
        <v>0</v>
      </c>
      <c r="D555" s="8">
        <v>4169.5745999999999</v>
      </c>
      <c r="E555" s="8">
        <v>28803.515899999999</v>
      </c>
    </row>
    <row r="556" spans="1:5">
      <c r="A556" s="7" t="s">
        <v>345</v>
      </c>
      <c r="B556" s="7" t="s">
        <v>668</v>
      </c>
      <c r="C556" s="8">
        <v>2815.9335999999998</v>
      </c>
      <c r="D556" s="8">
        <v>0</v>
      </c>
      <c r="E556" s="8">
        <v>25987.582299999998</v>
      </c>
    </row>
    <row r="557" spans="1:5">
      <c r="A557" s="7" t="s">
        <v>670</v>
      </c>
      <c r="B557" s="7" t="s">
        <v>669</v>
      </c>
      <c r="C557" s="8">
        <v>210.0206</v>
      </c>
      <c r="D557" s="8">
        <v>0</v>
      </c>
      <c r="E557" s="8">
        <v>40777.561699999998</v>
      </c>
    </row>
    <row r="558" spans="1:5">
      <c r="A558" s="7" t="s">
        <v>345</v>
      </c>
      <c r="B558" s="7" t="s">
        <v>669</v>
      </c>
      <c r="C558" s="8">
        <v>6195.9533000000001</v>
      </c>
      <c r="D558" s="8">
        <v>0</v>
      </c>
      <c r="E558" s="8">
        <v>34581.608399999997</v>
      </c>
    </row>
    <row r="559" spans="1:5">
      <c r="A559" s="7" t="s">
        <v>345</v>
      </c>
      <c r="B559" s="7" t="s">
        <v>671</v>
      </c>
      <c r="C559" s="8">
        <v>20301.717799999999</v>
      </c>
      <c r="D559" s="8">
        <v>0</v>
      </c>
      <c r="E559" s="8">
        <v>14279.890600000001</v>
      </c>
    </row>
    <row r="560" spans="1:5">
      <c r="A560" s="7" t="s">
        <v>345</v>
      </c>
      <c r="B560" s="7" t="s">
        <v>672</v>
      </c>
      <c r="C560" s="8">
        <v>4291.2929999999997</v>
      </c>
      <c r="D560" s="8">
        <v>0</v>
      </c>
      <c r="E560" s="8">
        <v>20708.707699999999</v>
      </c>
    </row>
    <row r="561" spans="1:5">
      <c r="A561" s="7" t="s">
        <v>673</v>
      </c>
      <c r="B561" s="7" t="s">
        <v>672</v>
      </c>
      <c r="C561" s="8">
        <v>206.82050000000001</v>
      </c>
      <c r="D561" s="8">
        <v>0</v>
      </c>
      <c r="E561" s="8">
        <v>20501.887200000001</v>
      </c>
    </row>
    <row r="562" spans="1:5">
      <c r="A562" s="7" t="s">
        <v>345</v>
      </c>
      <c r="B562" s="7" t="s">
        <v>674</v>
      </c>
      <c r="C562" s="8">
        <v>0</v>
      </c>
      <c r="D562" s="8">
        <v>5236.2653</v>
      </c>
      <c r="E562" s="8">
        <v>30738.1525</v>
      </c>
    </row>
    <row r="563" spans="1:5">
      <c r="A563" s="7" t="s">
        <v>345</v>
      </c>
      <c r="B563" s="7" t="s">
        <v>675</v>
      </c>
      <c r="C563" s="8">
        <v>10012.893899999999</v>
      </c>
      <c r="D563" s="8">
        <v>0</v>
      </c>
      <c r="E563" s="8">
        <v>40725.258600000001</v>
      </c>
    </row>
    <row r="564" spans="1:5">
      <c r="A564" s="7" t="s">
        <v>345</v>
      </c>
      <c r="B564" s="7" t="s">
        <v>676</v>
      </c>
      <c r="C564" s="8">
        <v>23993.213500000002</v>
      </c>
      <c r="D564" s="8">
        <v>0</v>
      </c>
      <c r="E564" s="8">
        <v>16006.785099999999</v>
      </c>
    </row>
    <row r="565" spans="1:5">
      <c r="A565" s="7" t="s">
        <v>677</v>
      </c>
      <c r="B565" s="7" t="s">
        <v>678</v>
      </c>
      <c r="C565" s="8">
        <v>15.93</v>
      </c>
      <c r="D565" s="8">
        <v>0</v>
      </c>
      <c r="E565" s="8">
        <v>8653.9750999999997</v>
      </c>
    </row>
    <row r="566" spans="1:5">
      <c r="A566" s="7" t="s">
        <v>679</v>
      </c>
      <c r="B566" s="7" t="s">
        <v>678</v>
      </c>
      <c r="C566" s="8">
        <v>15.93</v>
      </c>
      <c r="D566" s="8">
        <v>0</v>
      </c>
      <c r="E566" s="8">
        <v>8781.4151000000002</v>
      </c>
    </row>
    <row r="567" spans="1:5">
      <c r="A567" s="7" t="s">
        <v>680</v>
      </c>
      <c r="B567" s="7" t="s">
        <v>678</v>
      </c>
      <c r="C567" s="8">
        <v>15.93</v>
      </c>
      <c r="D567" s="8">
        <v>0</v>
      </c>
      <c r="E567" s="8">
        <v>8908.8551000000007</v>
      </c>
    </row>
    <row r="568" spans="1:5">
      <c r="A568" s="7" t="s">
        <v>681</v>
      </c>
      <c r="B568" s="7" t="s">
        <v>678</v>
      </c>
      <c r="C568" s="8">
        <v>15.93</v>
      </c>
      <c r="D568" s="8">
        <v>0</v>
      </c>
      <c r="E568" s="8">
        <v>8892.9251000000004</v>
      </c>
    </row>
    <row r="569" spans="1:5">
      <c r="A569" s="7" t="s">
        <v>682</v>
      </c>
      <c r="B569" s="7" t="s">
        <v>678</v>
      </c>
      <c r="C569" s="8">
        <v>15.93</v>
      </c>
      <c r="D569" s="8">
        <v>0</v>
      </c>
      <c r="E569" s="8">
        <v>8876.9951000000001</v>
      </c>
    </row>
    <row r="570" spans="1:5">
      <c r="A570" s="7" t="s">
        <v>683</v>
      </c>
      <c r="B570" s="7" t="s">
        <v>678</v>
      </c>
      <c r="C570" s="8">
        <v>15.93</v>
      </c>
      <c r="D570" s="8">
        <v>0</v>
      </c>
      <c r="E570" s="8">
        <v>8861.0650999999998</v>
      </c>
    </row>
    <row r="571" spans="1:5">
      <c r="A571" s="7" t="s">
        <v>684</v>
      </c>
      <c r="B571" s="7" t="s">
        <v>678</v>
      </c>
      <c r="C571" s="8">
        <v>15.93</v>
      </c>
      <c r="D571" s="8">
        <v>0</v>
      </c>
      <c r="E571" s="8">
        <v>8845.1350999999995</v>
      </c>
    </row>
    <row r="572" spans="1:5">
      <c r="A572" s="7" t="s">
        <v>685</v>
      </c>
      <c r="B572" s="7" t="s">
        <v>678</v>
      </c>
      <c r="C572" s="8">
        <v>15.93</v>
      </c>
      <c r="D572" s="8">
        <v>0</v>
      </c>
      <c r="E572" s="8">
        <v>8829.2050999999992</v>
      </c>
    </row>
    <row r="573" spans="1:5">
      <c r="A573" s="7" t="s">
        <v>686</v>
      </c>
      <c r="B573" s="7" t="s">
        <v>678</v>
      </c>
      <c r="C573" s="8">
        <v>15.93</v>
      </c>
      <c r="D573" s="8">
        <v>0</v>
      </c>
      <c r="E573" s="8">
        <v>8813.2751000000007</v>
      </c>
    </row>
    <row r="574" spans="1:5">
      <c r="A574" s="7" t="s">
        <v>687</v>
      </c>
      <c r="B574" s="7" t="s">
        <v>678</v>
      </c>
      <c r="C574" s="8">
        <v>15.93</v>
      </c>
      <c r="D574" s="8">
        <v>0</v>
      </c>
      <c r="E574" s="8">
        <v>8797.3451000000005</v>
      </c>
    </row>
    <row r="575" spans="1:5">
      <c r="A575" s="7" t="s">
        <v>688</v>
      </c>
      <c r="B575" s="7" t="s">
        <v>678</v>
      </c>
      <c r="C575" s="8">
        <v>15.93</v>
      </c>
      <c r="D575" s="8">
        <v>0</v>
      </c>
      <c r="E575" s="8">
        <v>10660.3591</v>
      </c>
    </row>
    <row r="576" spans="1:5">
      <c r="A576" s="7" t="s">
        <v>689</v>
      </c>
      <c r="B576" s="7" t="s">
        <v>678</v>
      </c>
      <c r="C576" s="8">
        <v>15.93</v>
      </c>
      <c r="D576" s="8">
        <v>0</v>
      </c>
      <c r="E576" s="8">
        <v>8765.4850999999999</v>
      </c>
    </row>
    <row r="577" spans="1:5">
      <c r="A577" s="7" t="s">
        <v>690</v>
      </c>
      <c r="B577" s="7" t="s">
        <v>678</v>
      </c>
      <c r="C577" s="8">
        <v>15.93</v>
      </c>
      <c r="D577" s="8">
        <v>0</v>
      </c>
      <c r="E577" s="8">
        <v>8749.5550999999996</v>
      </c>
    </row>
    <row r="578" spans="1:5">
      <c r="A578" s="7" t="s">
        <v>691</v>
      </c>
      <c r="B578" s="7" t="s">
        <v>678</v>
      </c>
      <c r="C578" s="8">
        <v>15.93</v>
      </c>
      <c r="D578" s="8">
        <v>0</v>
      </c>
      <c r="E578" s="8">
        <v>8733.6250999999993</v>
      </c>
    </row>
    <row r="579" spans="1:5">
      <c r="A579" s="7" t="s">
        <v>692</v>
      </c>
      <c r="B579" s="7" t="s">
        <v>678</v>
      </c>
      <c r="C579" s="8">
        <v>15.93</v>
      </c>
      <c r="D579" s="8">
        <v>0</v>
      </c>
      <c r="E579" s="8">
        <v>8717.6951000000008</v>
      </c>
    </row>
    <row r="580" spans="1:5">
      <c r="A580" s="7" t="s">
        <v>693</v>
      </c>
      <c r="B580" s="7" t="s">
        <v>678</v>
      </c>
      <c r="C580" s="8">
        <v>15.93</v>
      </c>
      <c r="D580" s="8">
        <v>0</v>
      </c>
      <c r="E580" s="8">
        <v>8701.7651000000005</v>
      </c>
    </row>
    <row r="581" spans="1:5">
      <c r="A581" s="7" t="s">
        <v>694</v>
      </c>
      <c r="B581" s="7" t="s">
        <v>678</v>
      </c>
      <c r="C581" s="8">
        <v>15.93</v>
      </c>
      <c r="D581" s="8">
        <v>0</v>
      </c>
      <c r="E581" s="8">
        <v>8685.8351000000002</v>
      </c>
    </row>
    <row r="582" spans="1:5">
      <c r="A582" s="7" t="s">
        <v>695</v>
      </c>
      <c r="B582" s="7" t="s">
        <v>678</v>
      </c>
      <c r="C582" s="8">
        <v>15.93</v>
      </c>
      <c r="D582" s="8">
        <v>0</v>
      </c>
      <c r="E582" s="8">
        <v>8669.9050999999999</v>
      </c>
    </row>
    <row r="583" spans="1:5">
      <c r="A583" s="7" t="s">
        <v>696</v>
      </c>
      <c r="B583" s="7" t="s">
        <v>678</v>
      </c>
      <c r="C583" s="8">
        <v>15.93</v>
      </c>
      <c r="D583" s="8">
        <v>0</v>
      </c>
      <c r="E583" s="8">
        <v>15990.855100000001</v>
      </c>
    </row>
    <row r="584" spans="1:5">
      <c r="A584" s="7" t="s">
        <v>697</v>
      </c>
      <c r="B584" s="7" t="s">
        <v>678</v>
      </c>
      <c r="C584" s="8">
        <v>15.93</v>
      </c>
      <c r="D584" s="8">
        <v>0</v>
      </c>
      <c r="E584" s="8">
        <v>8638.0450999999994</v>
      </c>
    </row>
    <row r="585" spans="1:5">
      <c r="A585" s="7" t="s">
        <v>698</v>
      </c>
      <c r="B585" s="7" t="s">
        <v>678</v>
      </c>
      <c r="C585" s="8">
        <v>15.93</v>
      </c>
      <c r="D585" s="8">
        <v>0</v>
      </c>
      <c r="E585" s="8">
        <v>8622.1151000000009</v>
      </c>
    </row>
    <row r="586" spans="1:5">
      <c r="A586" s="7" t="s">
        <v>699</v>
      </c>
      <c r="B586" s="7" t="s">
        <v>678</v>
      </c>
      <c r="C586" s="8">
        <v>15.93</v>
      </c>
      <c r="D586" s="8">
        <v>0</v>
      </c>
      <c r="E586" s="8">
        <v>8606.1851000000006</v>
      </c>
    </row>
    <row r="587" spans="1:5">
      <c r="A587" s="7" t="s">
        <v>700</v>
      </c>
      <c r="B587" s="7" t="s">
        <v>678</v>
      </c>
      <c r="C587" s="8">
        <v>15.93</v>
      </c>
      <c r="D587" s="8">
        <v>0</v>
      </c>
      <c r="E587" s="8">
        <v>8590.2551000000003</v>
      </c>
    </row>
    <row r="588" spans="1:5">
      <c r="A588" s="7" t="s">
        <v>701</v>
      </c>
      <c r="B588" s="7" t="s">
        <v>678</v>
      </c>
      <c r="C588" s="8">
        <v>15.93</v>
      </c>
      <c r="D588" s="8">
        <v>0</v>
      </c>
      <c r="E588" s="8">
        <v>8574.3251</v>
      </c>
    </row>
    <row r="589" spans="1:5">
      <c r="A589" s="7" t="s">
        <v>702</v>
      </c>
      <c r="B589" s="7" t="s">
        <v>678</v>
      </c>
      <c r="C589" s="8">
        <v>15.93</v>
      </c>
      <c r="D589" s="8">
        <v>0</v>
      </c>
      <c r="E589" s="8">
        <v>8558.3950999999997</v>
      </c>
    </row>
    <row r="590" spans="1:5">
      <c r="A590" s="7" t="s">
        <v>703</v>
      </c>
      <c r="B590" s="7" t="s">
        <v>678</v>
      </c>
      <c r="C590" s="8">
        <v>15.93</v>
      </c>
      <c r="D590" s="8">
        <v>0</v>
      </c>
      <c r="E590" s="8">
        <v>8542.4650999999994</v>
      </c>
    </row>
    <row r="591" spans="1:5">
      <c r="A591" s="7" t="s">
        <v>704</v>
      </c>
      <c r="B591" s="7" t="s">
        <v>678</v>
      </c>
      <c r="C591" s="8">
        <v>15.93</v>
      </c>
      <c r="D591" s="8">
        <v>0</v>
      </c>
      <c r="E591" s="8">
        <v>8526.5350999999991</v>
      </c>
    </row>
    <row r="592" spans="1:5">
      <c r="A592" s="7" t="s">
        <v>705</v>
      </c>
      <c r="B592" s="7" t="s">
        <v>678</v>
      </c>
      <c r="C592" s="8">
        <v>15.93</v>
      </c>
      <c r="D592" s="8">
        <v>0</v>
      </c>
      <c r="E592" s="8">
        <v>8510.6051000000007</v>
      </c>
    </row>
    <row r="593" spans="1:5">
      <c r="A593" s="7" t="s">
        <v>706</v>
      </c>
      <c r="B593" s="7" t="s">
        <v>678</v>
      </c>
      <c r="C593" s="8">
        <v>15.93</v>
      </c>
      <c r="D593" s="8">
        <v>0</v>
      </c>
      <c r="E593" s="8">
        <v>8494.6751000000004</v>
      </c>
    </row>
    <row r="594" spans="1:5">
      <c r="A594" s="7" t="s">
        <v>707</v>
      </c>
      <c r="B594" s="7" t="s">
        <v>678</v>
      </c>
      <c r="C594" s="8">
        <v>15.93</v>
      </c>
      <c r="D594" s="8">
        <v>0</v>
      </c>
      <c r="E594" s="8">
        <v>8478.7451000000001</v>
      </c>
    </row>
    <row r="595" spans="1:5">
      <c r="A595" s="7" t="s">
        <v>708</v>
      </c>
      <c r="B595" s="7" t="s">
        <v>678</v>
      </c>
      <c r="C595" s="8">
        <v>15.93</v>
      </c>
      <c r="D595" s="8">
        <v>0</v>
      </c>
      <c r="E595" s="8">
        <v>8462.8150999999998</v>
      </c>
    </row>
    <row r="596" spans="1:5">
      <c r="A596" s="7" t="s">
        <v>709</v>
      </c>
      <c r="B596" s="7" t="s">
        <v>678</v>
      </c>
      <c r="C596" s="8">
        <v>15.93</v>
      </c>
      <c r="D596" s="8">
        <v>0</v>
      </c>
      <c r="E596" s="8">
        <v>8446.8850999999995</v>
      </c>
    </row>
    <row r="597" spans="1:5">
      <c r="A597" s="7" t="s">
        <v>710</v>
      </c>
      <c r="B597" s="7" t="s">
        <v>678</v>
      </c>
      <c r="C597" s="8">
        <v>15.93</v>
      </c>
      <c r="D597" s="8">
        <v>0</v>
      </c>
      <c r="E597" s="8">
        <v>8430.9550999999992</v>
      </c>
    </row>
    <row r="598" spans="1:5">
      <c r="A598" s="7" t="s">
        <v>345</v>
      </c>
      <c r="B598" s="7" t="s">
        <v>678</v>
      </c>
      <c r="C598" s="8">
        <v>8415.0220000000008</v>
      </c>
      <c r="D598" s="8">
        <v>0</v>
      </c>
      <c r="E598" s="8">
        <v>15.9331</v>
      </c>
    </row>
    <row r="599" spans="1:5">
      <c r="A599" s="7" t="s">
        <v>711</v>
      </c>
      <c r="B599" s="7" t="s">
        <v>678</v>
      </c>
      <c r="C599" s="8">
        <v>0</v>
      </c>
      <c r="D599" s="8">
        <v>10660.356</v>
      </c>
      <c r="E599" s="8">
        <v>10676.2891</v>
      </c>
    </row>
    <row r="600" spans="1:5">
      <c r="A600" s="7" t="s">
        <v>345</v>
      </c>
      <c r="B600" s="7" t="s">
        <v>712</v>
      </c>
      <c r="C600" s="8">
        <v>6214.2237999999998</v>
      </c>
      <c r="D600" s="8">
        <v>0</v>
      </c>
      <c r="E600" s="8">
        <v>29446.135399999999</v>
      </c>
    </row>
    <row r="601" spans="1:5">
      <c r="A601" s="7" t="s">
        <v>345</v>
      </c>
      <c r="B601" s="7" t="s">
        <v>713</v>
      </c>
      <c r="C601" s="8">
        <v>0</v>
      </c>
      <c r="D601" s="8">
        <v>4907.7455</v>
      </c>
      <c r="E601" s="8">
        <v>29907.8809</v>
      </c>
    </row>
    <row r="602" spans="1:5">
      <c r="A602" s="7" t="s">
        <v>345</v>
      </c>
      <c r="B602" s="7" t="s">
        <v>714</v>
      </c>
      <c r="C602" s="8">
        <v>0</v>
      </c>
      <c r="D602" s="8">
        <v>1231.4042999999999</v>
      </c>
      <c r="E602" s="8">
        <v>31139.285199999998</v>
      </c>
    </row>
    <row r="603" spans="1:5">
      <c r="A603" s="7" t="s">
        <v>345</v>
      </c>
      <c r="B603" s="7" t="s">
        <v>715</v>
      </c>
      <c r="C603" s="8">
        <v>0</v>
      </c>
      <c r="D603" s="8">
        <v>1639.2543000000001</v>
      </c>
      <c r="E603" s="8">
        <v>32778.539499999999</v>
      </c>
    </row>
    <row r="604" spans="1:5">
      <c r="A604" s="7" t="s">
        <v>345</v>
      </c>
      <c r="B604" s="7" t="s">
        <v>716</v>
      </c>
      <c r="C604" s="8">
        <v>0</v>
      </c>
      <c r="D604" s="8">
        <v>3423.3150999999998</v>
      </c>
      <c r="E604" s="8">
        <v>30062.564600000002</v>
      </c>
    </row>
    <row r="605" spans="1:5">
      <c r="A605" s="7" t="s">
        <v>345</v>
      </c>
      <c r="B605" s="7" t="s">
        <v>717</v>
      </c>
      <c r="C605" s="8">
        <v>18431.4391</v>
      </c>
      <c r="D605" s="8">
        <v>0</v>
      </c>
      <c r="E605" s="8">
        <v>11631.1255</v>
      </c>
    </row>
    <row r="606" spans="1:5">
      <c r="A606" s="7" t="s">
        <v>345</v>
      </c>
      <c r="B606" s="7" t="s">
        <v>718</v>
      </c>
      <c r="C606" s="8">
        <v>17588.563900000001</v>
      </c>
      <c r="D606" s="8">
        <v>0</v>
      </c>
      <c r="E606" s="8">
        <v>19042.561600000001</v>
      </c>
    </row>
    <row r="607" spans="1:5">
      <c r="A607" s="7" t="s">
        <v>345</v>
      </c>
      <c r="B607" s="7" t="s">
        <v>719</v>
      </c>
      <c r="C607" s="8">
        <v>433.33690000000001</v>
      </c>
      <c r="D607" s="8">
        <v>0</v>
      </c>
      <c r="E607" s="8">
        <v>9567.2245999999996</v>
      </c>
    </row>
    <row r="608" spans="1:5">
      <c r="A608" s="7" t="s">
        <v>345</v>
      </c>
      <c r="B608" s="7" t="s">
        <v>720</v>
      </c>
      <c r="C608" s="8">
        <v>0</v>
      </c>
      <c r="D608" s="8">
        <v>2451.7721000000001</v>
      </c>
      <c r="E608" s="8">
        <v>12018.9967</v>
      </c>
    </row>
    <row r="609" spans="1:5">
      <c r="A609" s="7" t="s">
        <v>345</v>
      </c>
      <c r="B609" s="7" t="s">
        <v>721</v>
      </c>
      <c r="C609" s="8">
        <v>1121.4173000000001</v>
      </c>
      <c r="D609" s="8">
        <v>0</v>
      </c>
      <c r="E609" s="8">
        <v>10897.5795</v>
      </c>
    </row>
    <row r="610" spans="1:5">
      <c r="A610" s="7" t="s">
        <v>345</v>
      </c>
      <c r="B610" s="7" t="s">
        <v>722</v>
      </c>
      <c r="C610" s="8">
        <v>3389.9859000000001</v>
      </c>
      <c r="D610" s="8">
        <v>0</v>
      </c>
      <c r="E610" s="8">
        <v>26610.013599999998</v>
      </c>
    </row>
    <row r="611" spans="1:5">
      <c r="A611" s="7" t="s">
        <v>345</v>
      </c>
      <c r="B611" s="7" t="s">
        <v>723</v>
      </c>
      <c r="C611" s="8">
        <v>0</v>
      </c>
      <c r="D611" s="8">
        <v>3468.5974999999999</v>
      </c>
      <c r="E611" s="8">
        <v>30078.611199999999</v>
      </c>
    </row>
    <row r="612" spans="1:5">
      <c r="A612" s="7" t="s">
        <v>345</v>
      </c>
      <c r="B612" s="7" t="s">
        <v>724</v>
      </c>
      <c r="C612" s="8">
        <v>3798.1691999999998</v>
      </c>
      <c r="D612" s="8">
        <v>0</v>
      </c>
      <c r="E612" s="8">
        <v>26280.441900000002</v>
      </c>
    </row>
    <row r="613" spans="1:5">
      <c r="A613" s="7" t="s">
        <v>345</v>
      </c>
      <c r="B613" s="7" t="s">
        <v>725</v>
      </c>
      <c r="C613" s="8">
        <v>0</v>
      </c>
      <c r="D613" s="8">
        <v>4317.9642999999996</v>
      </c>
      <c r="E613" s="8">
        <v>30598.406200000001</v>
      </c>
    </row>
    <row r="614" spans="1:5">
      <c r="A614" s="7" t="s">
        <v>345</v>
      </c>
      <c r="B614" s="7" t="s">
        <v>726</v>
      </c>
      <c r="C614" s="8">
        <v>0</v>
      </c>
      <c r="D614" s="8">
        <v>762.11069999999995</v>
      </c>
      <c r="E614" s="8">
        <v>41360.516900000002</v>
      </c>
    </row>
    <row r="615" spans="1:5">
      <c r="A615" s="7" t="s">
        <v>345</v>
      </c>
      <c r="B615" s="7" t="s">
        <v>727</v>
      </c>
      <c r="C615" s="8">
        <v>0</v>
      </c>
      <c r="D615" s="8">
        <v>2418.2633000000001</v>
      </c>
      <c r="E615" s="8">
        <v>43778.780200000001</v>
      </c>
    </row>
    <row r="616" spans="1:5">
      <c r="A616" s="7" t="s">
        <v>345</v>
      </c>
      <c r="B616" s="7" t="s">
        <v>728</v>
      </c>
      <c r="C616" s="8">
        <v>0</v>
      </c>
      <c r="D616" s="8">
        <v>2027.4078</v>
      </c>
      <c r="E616" s="8">
        <v>45806.188000000002</v>
      </c>
    </row>
    <row r="617" spans="1:5">
      <c r="A617" s="7" t="s">
        <v>345</v>
      </c>
      <c r="B617" s="7" t="s">
        <v>729</v>
      </c>
      <c r="C617" s="8">
        <v>14726.1193</v>
      </c>
      <c r="D617" s="8">
        <v>0</v>
      </c>
      <c r="E617" s="8">
        <v>31080.0687</v>
      </c>
    </row>
    <row r="618" spans="1:5">
      <c r="A618" s="7" t="s">
        <v>345</v>
      </c>
      <c r="B618" s="7" t="s">
        <v>730</v>
      </c>
      <c r="C618" s="8">
        <v>8869.0144999999993</v>
      </c>
      <c r="D618" s="8">
        <v>0</v>
      </c>
      <c r="E618" s="8">
        <v>22211.054199999999</v>
      </c>
    </row>
    <row r="619" spans="1:5">
      <c r="A619" s="7" t="s">
        <v>345</v>
      </c>
      <c r="B619" s="7" t="s">
        <v>731</v>
      </c>
      <c r="C619" s="8">
        <v>0</v>
      </c>
      <c r="D619" s="8">
        <v>498.99680000000001</v>
      </c>
      <c r="E619" s="8">
        <v>22710.050999999999</v>
      </c>
    </row>
    <row r="620" spans="1:5">
      <c r="A620" s="7" t="s">
        <v>345</v>
      </c>
      <c r="B620" s="7" t="s">
        <v>732</v>
      </c>
      <c r="C620" s="8">
        <v>334.55549999999999</v>
      </c>
      <c r="D620" s="8">
        <v>0</v>
      </c>
      <c r="E620" s="8">
        <v>22375.495500000001</v>
      </c>
    </row>
    <row r="621" spans="1:5">
      <c r="A621" s="7" t="s">
        <v>733</v>
      </c>
      <c r="B621" s="7" t="s">
        <v>734</v>
      </c>
      <c r="C621" s="8">
        <v>0</v>
      </c>
      <c r="D621" s="8">
        <v>94.4</v>
      </c>
      <c r="E621" s="8">
        <v>22469.895499999999</v>
      </c>
    </row>
    <row r="622" spans="1:5">
      <c r="A622" s="7" t="s">
        <v>345</v>
      </c>
      <c r="B622" s="7" t="s">
        <v>734</v>
      </c>
      <c r="C622" s="8">
        <v>8855.8017999999993</v>
      </c>
      <c r="D622" s="8">
        <v>0</v>
      </c>
      <c r="E622" s="8">
        <v>13614.093699999999</v>
      </c>
    </row>
    <row r="623" spans="1:5">
      <c r="A623" s="7" t="s">
        <v>345</v>
      </c>
      <c r="B623" s="7" t="s">
        <v>735</v>
      </c>
      <c r="C623" s="8">
        <v>9972.7870000000003</v>
      </c>
      <c r="D623" s="8">
        <v>0</v>
      </c>
      <c r="E623" s="8">
        <v>3641.3067000000001</v>
      </c>
    </row>
    <row r="624" spans="1:5">
      <c r="A624" s="7" t="s">
        <v>345</v>
      </c>
      <c r="B624" s="7" t="s">
        <v>736</v>
      </c>
      <c r="C624" s="8">
        <v>5.2336999999999998</v>
      </c>
      <c r="D624" s="8">
        <v>0</v>
      </c>
      <c r="E624" s="8">
        <v>3636.0731000000001</v>
      </c>
    </row>
    <row r="625" spans="1:5">
      <c r="A625" s="7" t="s">
        <v>345</v>
      </c>
      <c r="B625" s="7" t="s">
        <v>737</v>
      </c>
      <c r="C625" s="8">
        <v>0</v>
      </c>
      <c r="D625" s="8">
        <v>2374.0018</v>
      </c>
      <c r="E625" s="8">
        <v>27374.074799999999</v>
      </c>
    </row>
    <row r="626" spans="1:5">
      <c r="A626" s="7" t="s">
        <v>345</v>
      </c>
      <c r="B626" s="7" t="s">
        <v>738</v>
      </c>
      <c r="C626" s="8">
        <v>0</v>
      </c>
      <c r="D626" s="8">
        <v>1370.9594999999999</v>
      </c>
      <c r="E626" s="8">
        <v>28745.034299999999</v>
      </c>
    </row>
    <row r="627" spans="1:5">
      <c r="A627" s="7" t="s">
        <v>345</v>
      </c>
      <c r="B627" s="7" t="s">
        <v>739</v>
      </c>
      <c r="C627" s="8">
        <v>5395.0268999999998</v>
      </c>
      <c r="D627" s="8">
        <v>0</v>
      </c>
      <c r="E627" s="8">
        <v>23350.0075</v>
      </c>
    </row>
    <row r="628" spans="1:5">
      <c r="A628" s="7" t="s">
        <v>345</v>
      </c>
      <c r="B628" s="7" t="s">
        <v>740</v>
      </c>
      <c r="C628" s="8">
        <v>7994.1966000000002</v>
      </c>
      <c r="D628" s="8">
        <v>0</v>
      </c>
      <c r="E628" s="8">
        <v>15355.810799999999</v>
      </c>
    </row>
    <row r="629" spans="1:5">
      <c r="A629" s="7" t="s">
        <v>345</v>
      </c>
      <c r="B629" s="7" t="s">
        <v>741</v>
      </c>
      <c r="C629" s="8">
        <v>0</v>
      </c>
      <c r="D629" s="8">
        <v>1328.6657</v>
      </c>
      <c r="E629" s="8">
        <v>16684.476500000001</v>
      </c>
    </row>
    <row r="630" spans="1:5">
      <c r="A630" s="7" t="s">
        <v>345</v>
      </c>
      <c r="B630" s="7" t="s">
        <v>742</v>
      </c>
      <c r="C630" s="8">
        <v>0</v>
      </c>
      <c r="D630" s="8">
        <v>561.34649999999999</v>
      </c>
      <c r="E630" s="8">
        <v>17245.823100000001</v>
      </c>
    </row>
    <row r="631" spans="1:5">
      <c r="A631" s="7" t="s">
        <v>345</v>
      </c>
      <c r="B631" s="7" t="s">
        <v>743</v>
      </c>
      <c r="C631" s="8">
        <v>0</v>
      </c>
      <c r="D631" s="8">
        <v>998.70259999999996</v>
      </c>
      <c r="E631" s="8">
        <v>18244.525699999998</v>
      </c>
    </row>
    <row r="632" spans="1:5">
      <c r="A632" s="7" t="s">
        <v>345</v>
      </c>
      <c r="B632" s="7" t="s">
        <v>744</v>
      </c>
      <c r="C632" s="8">
        <v>2560.7914000000001</v>
      </c>
      <c r="D632" s="8">
        <v>0</v>
      </c>
      <c r="E632" s="8">
        <v>15683.734200000001</v>
      </c>
    </row>
    <row r="633" spans="1:5">
      <c r="A633" s="7" t="s">
        <v>345</v>
      </c>
      <c r="B633" s="7" t="s">
        <v>745</v>
      </c>
      <c r="C633" s="8">
        <v>0</v>
      </c>
      <c r="D633" s="8">
        <v>817.03269999999998</v>
      </c>
      <c r="E633" s="8">
        <v>16500.766899999999</v>
      </c>
    </row>
    <row r="634" spans="1:5">
      <c r="A634" s="7" t="s">
        <v>345</v>
      </c>
      <c r="B634" s="7" t="s">
        <v>746</v>
      </c>
      <c r="C634" s="8">
        <v>0</v>
      </c>
      <c r="D634" s="8">
        <v>728.52139999999997</v>
      </c>
      <c r="E634" s="8">
        <v>17229.2883</v>
      </c>
    </row>
    <row r="635" spans="1:5">
      <c r="A635" s="7" t="s">
        <v>345</v>
      </c>
      <c r="B635" s="7" t="s">
        <v>747</v>
      </c>
      <c r="C635" s="8">
        <v>1598.4872</v>
      </c>
      <c r="D635" s="8">
        <v>0</v>
      </c>
      <c r="E635" s="8">
        <v>15630.801100000001</v>
      </c>
    </row>
    <row r="636" spans="1:5">
      <c r="A636" s="7" t="s">
        <v>345</v>
      </c>
      <c r="B636" s="7" t="s">
        <v>748</v>
      </c>
      <c r="C636" s="8">
        <v>2149.3807000000002</v>
      </c>
      <c r="D636" s="8">
        <v>0</v>
      </c>
      <c r="E636" s="8">
        <v>13481.420400000001</v>
      </c>
    </row>
    <row r="637" spans="1:5">
      <c r="A637" s="7" t="s">
        <v>345</v>
      </c>
      <c r="B637" s="7" t="s">
        <v>749</v>
      </c>
      <c r="C637" s="8">
        <v>0</v>
      </c>
      <c r="D637" s="8">
        <v>152.66720000000001</v>
      </c>
      <c r="E637" s="8">
        <v>13634.087600000001</v>
      </c>
    </row>
    <row r="638" spans="1:5">
      <c r="A638" s="7" t="s">
        <v>345</v>
      </c>
      <c r="B638" s="7" t="s">
        <v>750</v>
      </c>
      <c r="C638" s="8">
        <v>0</v>
      </c>
      <c r="D638" s="8">
        <v>388.1037</v>
      </c>
      <c r="E638" s="8">
        <v>14022.1914</v>
      </c>
    </row>
    <row r="639" spans="1:5">
      <c r="A639" s="7" t="s">
        <v>345</v>
      </c>
      <c r="B639" s="7" t="s">
        <v>751</v>
      </c>
      <c r="C639" s="8">
        <v>0</v>
      </c>
      <c r="D639" s="8">
        <v>1904.0329999999999</v>
      </c>
      <c r="E639" s="8">
        <v>15926.224399999999</v>
      </c>
    </row>
    <row r="640" spans="1:5">
      <c r="A640" s="7" t="s">
        <v>345</v>
      </c>
      <c r="B640" s="7" t="s">
        <v>752</v>
      </c>
      <c r="C640" s="8">
        <v>1372.4699000000001</v>
      </c>
      <c r="D640" s="8">
        <v>0</v>
      </c>
      <c r="E640" s="8">
        <v>14296.1522</v>
      </c>
    </row>
    <row r="641" spans="1:5">
      <c r="A641" s="7" t="s">
        <v>345</v>
      </c>
      <c r="B641" s="7" t="s">
        <v>753</v>
      </c>
      <c r="C641" s="8">
        <v>1744.595</v>
      </c>
      <c r="D641" s="8">
        <v>0</v>
      </c>
      <c r="E641" s="8">
        <v>12551.5573</v>
      </c>
    </row>
    <row r="642" spans="1:5">
      <c r="A642" s="7" t="s">
        <v>345</v>
      </c>
      <c r="B642" s="7" t="s">
        <v>754</v>
      </c>
      <c r="C642" s="8">
        <v>0</v>
      </c>
      <c r="D642" s="8">
        <v>557.66890000000001</v>
      </c>
      <c r="E642" s="8">
        <v>13109.226199999999</v>
      </c>
    </row>
    <row r="643" spans="1:5">
      <c r="A643" s="7" t="s">
        <v>345</v>
      </c>
      <c r="B643" s="7" t="s">
        <v>755</v>
      </c>
      <c r="C643" s="8">
        <v>615.47249999999997</v>
      </c>
      <c r="D643" s="8">
        <v>0</v>
      </c>
      <c r="E643" s="8">
        <v>12493.753699999999</v>
      </c>
    </row>
    <row r="644" spans="1:5">
      <c r="A644" s="7" t="s">
        <v>345</v>
      </c>
      <c r="B644" s="7" t="s">
        <v>756</v>
      </c>
      <c r="C644" s="8">
        <v>0</v>
      </c>
      <c r="D644" s="8">
        <v>540.72559999999999</v>
      </c>
      <c r="E644" s="8">
        <v>13034.479300000001</v>
      </c>
    </row>
    <row r="645" spans="1:5">
      <c r="A645" s="7" t="s">
        <v>345</v>
      </c>
      <c r="B645" s="7" t="s">
        <v>757</v>
      </c>
      <c r="C645" s="8">
        <v>2741.0497</v>
      </c>
      <c r="D645" s="8">
        <v>0</v>
      </c>
      <c r="E645" s="8">
        <v>10293.429599999999</v>
      </c>
    </row>
    <row r="646" spans="1:5">
      <c r="A646" s="7" t="s">
        <v>345</v>
      </c>
      <c r="B646" s="7" t="s">
        <v>758</v>
      </c>
      <c r="C646" s="8">
        <v>0</v>
      </c>
      <c r="D646" s="8">
        <v>1035.2144000000001</v>
      </c>
      <c r="E646" s="8">
        <v>11328.644</v>
      </c>
    </row>
    <row r="647" spans="1:5">
      <c r="A647" s="7" t="s">
        <v>345</v>
      </c>
      <c r="B647" s="7" t="s">
        <v>759</v>
      </c>
      <c r="C647" s="8">
        <v>0</v>
      </c>
      <c r="D647" s="8">
        <v>985.2681</v>
      </c>
      <c r="E647" s="8">
        <v>12313.9121</v>
      </c>
    </row>
    <row r="648" spans="1:5">
      <c r="A648" s="7" t="s">
        <v>345</v>
      </c>
      <c r="B648" s="7" t="s">
        <v>760</v>
      </c>
      <c r="C648" s="8">
        <v>2577.9807000000001</v>
      </c>
      <c r="D648" s="8">
        <v>0</v>
      </c>
      <c r="E648" s="8">
        <v>9735.9313000000002</v>
      </c>
    </row>
    <row r="649" spans="1:5">
      <c r="A649" s="7" t="s">
        <v>345</v>
      </c>
      <c r="B649" s="7" t="s">
        <v>761</v>
      </c>
      <c r="C649" s="8">
        <v>0</v>
      </c>
      <c r="D649" s="8">
        <v>133.44810000000001</v>
      </c>
      <c r="E649" s="8">
        <v>9869.3793999999998</v>
      </c>
    </row>
    <row r="650" spans="1:5">
      <c r="A650" s="9" t="s">
        <v>762</v>
      </c>
      <c r="B650" s="9" t="s">
        <v>761</v>
      </c>
      <c r="C650" s="10">
        <v>88.5</v>
      </c>
      <c r="D650" s="8">
        <v>0</v>
      </c>
      <c r="E650" s="8">
        <v>9780.8793999999998</v>
      </c>
    </row>
    <row r="651" spans="1:5">
      <c r="A651" s="9" t="s">
        <v>763</v>
      </c>
      <c r="B651" s="9" t="s">
        <v>761</v>
      </c>
      <c r="C651" s="10">
        <v>88.5</v>
      </c>
      <c r="D651" s="8">
        <v>0</v>
      </c>
      <c r="E651" s="8">
        <v>9692.3793999999998</v>
      </c>
    </row>
    <row r="652" spans="1:5">
      <c r="A652" s="7" t="s">
        <v>345</v>
      </c>
      <c r="B652" s="7" t="s">
        <v>764</v>
      </c>
      <c r="C652" s="8">
        <v>2681.6732999999999</v>
      </c>
      <c r="D652" s="8">
        <v>0</v>
      </c>
      <c r="E652" s="8">
        <v>7010.7061000000003</v>
      </c>
    </row>
    <row r="653" spans="1:5">
      <c r="A653" s="7" t="s">
        <v>345</v>
      </c>
      <c r="B653" s="7" t="s">
        <v>765</v>
      </c>
      <c r="C653" s="8">
        <v>0</v>
      </c>
      <c r="D653" s="8">
        <v>774.51850000000002</v>
      </c>
      <c r="E653" s="8">
        <v>30775.224600000001</v>
      </c>
    </row>
    <row r="654" spans="1:5">
      <c r="A654" s="7" t="s">
        <v>345</v>
      </c>
      <c r="B654" s="7" t="s">
        <v>766</v>
      </c>
      <c r="C654" s="8">
        <v>0</v>
      </c>
      <c r="D654" s="8">
        <v>3451.5010000000002</v>
      </c>
      <c r="E654" s="8">
        <v>34226.725599999998</v>
      </c>
    </row>
    <row r="655" spans="1:5">
      <c r="A655" s="7" t="s">
        <v>345</v>
      </c>
      <c r="B655" s="7" t="s">
        <v>767</v>
      </c>
      <c r="C655" s="8">
        <v>10567.8069</v>
      </c>
      <c r="D655" s="8">
        <v>0</v>
      </c>
      <c r="E655" s="8">
        <v>23658.918699999998</v>
      </c>
    </row>
    <row r="656" spans="1:5">
      <c r="A656" s="7" t="s">
        <v>345</v>
      </c>
      <c r="B656" s="7" t="s">
        <v>768</v>
      </c>
      <c r="C656" s="8">
        <v>0</v>
      </c>
      <c r="D656" s="8">
        <v>4224.5066999999999</v>
      </c>
      <c r="E656" s="8">
        <v>27883.4254</v>
      </c>
    </row>
    <row r="657" spans="1:5">
      <c r="A657" s="7" t="s">
        <v>345</v>
      </c>
      <c r="B657" s="7" t="s">
        <v>769</v>
      </c>
      <c r="C657" s="8">
        <v>0</v>
      </c>
      <c r="D657" s="8">
        <v>1529.0786000000001</v>
      </c>
      <c r="E657" s="8">
        <v>29412.504099999998</v>
      </c>
    </row>
    <row r="658" spans="1:5">
      <c r="A658" s="7" t="s">
        <v>345</v>
      </c>
      <c r="B658" s="7" t="s">
        <v>770</v>
      </c>
      <c r="C658" s="8">
        <v>2993.0871000000002</v>
      </c>
      <c r="D658" s="8">
        <v>0</v>
      </c>
      <c r="E658" s="8">
        <v>26419.417000000001</v>
      </c>
    </row>
    <row r="659" spans="1:5">
      <c r="A659" s="7" t="s">
        <v>345</v>
      </c>
      <c r="B659" s="7" t="s">
        <v>771</v>
      </c>
      <c r="C659" s="8">
        <v>0</v>
      </c>
      <c r="D659" s="8">
        <v>2143.1053000000002</v>
      </c>
      <c r="E659" s="8">
        <v>28562.522199999999</v>
      </c>
    </row>
    <row r="660" spans="1:5">
      <c r="A660" s="7" t="s">
        <v>345</v>
      </c>
      <c r="B660" s="7" t="s">
        <v>772</v>
      </c>
      <c r="C660" s="8">
        <v>0</v>
      </c>
      <c r="D660" s="8">
        <v>2306.2375999999999</v>
      </c>
      <c r="E660" s="8">
        <v>30868.7598</v>
      </c>
    </row>
    <row r="661" spans="1:5">
      <c r="A661" s="7" t="s">
        <v>345</v>
      </c>
      <c r="B661" s="7" t="s">
        <v>773</v>
      </c>
      <c r="C661" s="8">
        <v>0</v>
      </c>
      <c r="D661" s="8">
        <v>14935.980799999999</v>
      </c>
      <c r="E661" s="8">
        <v>45804.740599999997</v>
      </c>
    </row>
    <row r="662" spans="1:5">
      <c r="A662" s="7" t="s">
        <v>345</v>
      </c>
      <c r="B662" s="7" t="s">
        <v>774</v>
      </c>
      <c r="C662" s="8">
        <v>7818.2453999999998</v>
      </c>
      <c r="D662" s="8">
        <v>0</v>
      </c>
      <c r="E662" s="8">
        <v>37986.4951</v>
      </c>
    </row>
    <row r="663" spans="1:5">
      <c r="A663" s="7" t="s">
        <v>345</v>
      </c>
      <c r="B663" s="7" t="s">
        <v>775</v>
      </c>
      <c r="C663" s="8">
        <v>0</v>
      </c>
      <c r="D663" s="8">
        <v>882.91819999999996</v>
      </c>
      <c r="E663" s="8">
        <v>10882.9133</v>
      </c>
    </row>
    <row r="664" spans="1:5">
      <c r="A664" s="7" t="s">
        <v>345</v>
      </c>
      <c r="B664" s="7" t="s">
        <v>776</v>
      </c>
      <c r="C664" s="8">
        <v>0</v>
      </c>
      <c r="D664" s="8">
        <v>1680.8835999999999</v>
      </c>
      <c r="E664" s="8">
        <v>12563.797</v>
      </c>
    </row>
    <row r="665" spans="1:5">
      <c r="A665" s="7" t="s">
        <v>345</v>
      </c>
      <c r="B665" s="7" t="s">
        <v>777</v>
      </c>
      <c r="C665" s="8">
        <v>0</v>
      </c>
      <c r="D665" s="8">
        <v>2173.6007</v>
      </c>
      <c r="E665" s="8">
        <v>14737.3977</v>
      </c>
    </row>
    <row r="666" spans="1:5">
      <c r="A666" s="7" t="s">
        <v>345</v>
      </c>
      <c r="B666" s="7" t="s">
        <v>778</v>
      </c>
      <c r="C666" s="8">
        <v>0</v>
      </c>
      <c r="D666" s="8">
        <v>9215.2042000000001</v>
      </c>
      <c r="E666" s="8">
        <v>23952.601900000001</v>
      </c>
    </row>
    <row r="667" spans="1:5">
      <c r="A667" s="7" t="s">
        <v>345</v>
      </c>
      <c r="B667" s="7" t="s">
        <v>779</v>
      </c>
      <c r="C667" s="8">
        <v>0</v>
      </c>
      <c r="D667" s="8">
        <v>544.24459999999999</v>
      </c>
      <c r="E667" s="8">
        <v>24496.8465</v>
      </c>
    </row>
    <row r="668" spans="1:5">
      <c r="A668" s="7" t="s">
        <v>345</v>
      </c>
      <c r="B668" s="7" t="s">
        <v>780</v>
      </c>
      <c r="C668" s="8">
        <v>1251.3236999999999</v>
      </c>
      <c r="D668" s="8">
        <v>0</v>
      </c>
      <c r="E668" s="8">
        <v>9293.5228000000006</v>
      </c>
    </row>
    <row r="669" spans="1:5">
      <c r="A669" s="7" t="s">
        <v>345</v>
      </c>
      <c r="B669" s="7" t="s">
        <v>781</v>
      </c>
      <c r="C669" s="8">
        <v>723.4126</v>
      </c>
      <c r="D669" s="8">
        <v>0</v>
      </c>
      <c r="E669" s="8">
        <v>8570.1101999999992</v>
      </c>
    </row>
    <row r="670" spans="1:5">
      <c r="A670" s="7" t="s">
        <v>345</v>
      </c>
      <c r="B670" s="7" t="s">
        <v>782</v>
      </c>
      <c r="C670" s="8">
        <v>0</v>
      </c>
      <c r="D670" s="8">
        <v>1766.6661999999999</v>
      </c>
      <c r="E670" s="8">
        <v>10336.7763</v>
      </c>
    </row>
    <row r="671" spans="1:5">
      <c r="A671" s="7" t="s">
        <v>345</v>
      </c>
      <c r="B671" s="7" t="s">
        <v>783</v>
      </c>
      <c r="C671" s="8">
        <v>4121.9110000000001</v>
      </c>
      <c r="D671" s="8">
        <v>0</v>
      </c>
      <c r="E671" s="8">
        <v>6214.8653000000004</v>
      </c>
    </row>
    <row r="672" spans="1:5">
      <c r="A672" s="7" t="s">
        <v>345</v>
      </c>
      <c r="B672" s="7" t="s">
        <v>784</v>
      </c>
      <c r="C672" s="8">
        <v>0</v>
      </c>
      <c r="D672" s="8">
        <v>376.18770000000001</v>
      </c>
      <c r="E672" s="8">
        <v>6591.0531000000001</v>
      </c>
    </row>
    <row r="673" spans="1:5">
      <c r="A673" s="7" t="s">
        <v>345</v>
      </c>
      <c r="B673" s="7" t="s">
        <v>785</v>
      </c>
      <c r="C673" s="8">
        <v>0</v>
      </c>
      <c r="D673" s="8">
        <v>1367.1231</v>
      </c>
      <c r="E673" s="8">
        <v>11367.126200000001</v>
      </c>
    </row>
    <row r="674" spans="1:5">
      <c r="A674" s="7" t="s">
        <v>345</v>
      </c>
      <c r="B674" s="7" t="s">
        <v>786</v>
      </c>
      <c r="C674" s="8">
        <v>0</v>
      </c>
      <c r="D674" s="8">
        <v>2072.4436000000001</v>
      </c>
      <c r="E674" s="8">
        <v>13439.569799999999</v>
      </c>
    </row>
    <row r="675" spans="1:5">
      <c r="A675" s="7" t="s">
        <v>345</v>
      </c>
      <c r="B675" s="7" t="s">
        <v>787</v>
      </c>
      <c r="C675" s="8">
        <v>0</v>
      </c>
      <c r="D675" s="8">
        <v>149.73519999999999</v>
      </c>
      <c r="E675" s="8">
        <v>13589.305</v>
      </c>
    </row>
    <row r="676" spans="1:5">
      <c r="A676" s="7" t="s">
        <v>345</v>
      </c>
      <c r="B676" s="7" t="s">
        <v>788</v>
      </c>
      <c r="C676" s="8">
        <v>257.60230000000001</v>
      </c>
      <c r="D676" s="8">
        <v>0</v>
      </c>
      <c r="E676" s="8">
        <v>15668.622100000001</v>
      </c>
    </row>
    <row r="677" spans="1:5">
      <c r="A677" s="7" t="s">
        <v>345</v>
      </c>
      <c r="B677" s="7" t="s">
        <v>789</v>
      </c>
      <c r="C677" s="8">
        <v>0</v>
      </c>
      <c r="D677" s="8">
        <v>14607.087600000001</v>
      </c>
      <c r="E677" s="8">
        <v>114607.08259999999</v>
      </c>
    </row>
    <row r="678" spans="1:5">
      <c r="A678" s="7" t="s">
        <v>345</v>
      </c>
      <c r="B678" s="7" t="s">
        <v>790</v>
      </c>
      <c r="C678" s="8">
        <v>0</v>
      </c>
      <c r="D678" s="8">
        <v>12385.5404</v>
      </c>
      <c r="E678" s="8">
        <v>126992.62300000001</v>
      </c>
    </row>
    <row r="679" spans="1:5">
      <c r="A679" s="7" t="s">
        <v>345</v>
      </c>
      <c r="B679" s="7" t="s">
        <v>791</v>
      </c>
      <c r="C679" s="8">
        <v>0</v>
      </c>
      <c r="D679" s="8">
        <v>20611.624100000001</v>
      </c>
      <c r="E679" s="8">
        <v>147604.24710000001</v>
      </c>
    </row>
    <row r="680" spans="1:5">
      <c r="A680" s="7" t="s">
        <v>345</v>
      </c>
      <c r="B680" s="7" t="s">
        <v>792</v>
      </c>
      <c r="C680" s="8">
        <v>26855.3266</v>
      </c>
      <c r="D680" s="8">
        <v>0</v>
      </c>
      <c r="E680" s="8">
        <v>120748.9204</v>
      </c>
    </row>
    <row r="681" spans="1:5">
      <c r="A681" s="7" t="s">
        <v>345</v>
      </c>
      <c r="B681" s="7" t="s">
        <v>793</v>
      </c>
      <c r="C681" s="8">
        <v>0</v>
      </c>
      <c r="D681" s="8">
        <v>17176.6937</v>
      </c>
      <c r="E681" s="8">
        <v>187925.61420000001</v>
      </c>
    </row>
    <row r="682" spans="1:5">
      <c r="A682" s="7" t="s">
        <v>345</v>
      </c>
      <c r="B682" s="7" t="s">
        <v>794</v>
      </c>
      <c r="C682" s="8">
        <v>0</v>
      </c>
      <c r="D682" s="8">
        <v>35775.041100000002</v>
      </c>
      <c r="E682" s="8">
        <v>223700.65520000001</v>
      </c>
    </row>
    <row r="683" spans="1:5">
      <c r="A683" s="7" t="s">
        <v>345</v>
      </c>
      <c r="B683" s="7" t="s">
        <v>795</v>
      </c>
      <c r="C683" s="8">
        <v>93112.627299999993</v>
      </c>
      <c r="D683" s="8">
        <v>0</v>
      </c>
      <c r="E683" s="8">
        <v>130588.0279</v>
      </c>
    </row>
    <row r="684" spans="1:5">
      <c r="A684" s="7" t="s">
        <v>345</v>
      </c>
      <c r="B684" s="7" t="s">
        <v>796</v>
      </c>
      <c r="C684" s="8">
        <v>12698.846299999999</v>
      </c>
      <c r="D684" s="8">
        <v>0</v>
      </c>
      <c r="E684" s="8">
        <v>117889.1816</v>
      </c>
    </row>
    <row r="685" spans="1:5">
      <c r="A685" s="7" t="s">
        <v>345</v>
      </c>
      <c r="B685" s="7" t="s">
        <v>797</v>
      </c>
      <c r="C685" s="8">
        <v>0</v>
      </c>
      <c r="D685" s="8">
        <v>5781.0807000000004</v>
      </c>
      <c r="E685" s="8">
        <v>123670.26240000001</v>
      </c>
    </row>
    <row r="686" spans="1:5">
      <c r="A686" s="7" t="s">
        <v>345</v>
      </c>
      <c r="B686" s="7" t="s">
        <v>798</v>
      </c>
      <c r="C686" s="8">
        <v>22580.912100000001</v>
      </c>
      <c r="D686" s="8">
        <v>0</v>
      </c>
      <c r="E686" s="8">
        <v>101089.3502</v>
      </c>
    </row>
    <row r="687" spans="1:5">
      <c r="A687" s="7" t="s">
        <v>345</v>
      </c>
      <c r="B687" s="7" t="s">
        <v>799</v>
      </c>
      <c r="C687" s="8">
        <v>0</v>
      </c>
      <c r="D687" s="8">
        <v>22722.9853</v>
      </c>
      <c r="E687" s="8">
        <v>123812.3355</v>
      </c>
    </row>
    <row r="688" spans="1:5">
      <c r="A688" s="7" t="s">
        <v>800</v>
      </c>
      <c r="B688" s="7" t="s">
        <v>801</v>
      </c>
      <c r="C688" s="8">
        <v>118</v>
      </c>
      <c r="D688" s="8">
        <v>0</v>
      </c>
      <c r="E688" s="8">
        <v>123694.3355</v>
      </c>
    </row>
    <row r="689" spans="1:5">
      <c r="A689" s="7" t="s">
        <v>345</v>
      </c>
      <c r="B689" s="7" t="s">
        <v>801</v>
      </c>
      <c r="C689" s="8">
        <v>3846.4468999999999</v>
      </c>
      <c r="D689" s="8">
        <v>0</v>
      </c>
      <c r="E689" s="8">
        <v>119847.88860000001</v>
      </c>
    </row>
    <row r="690" spans="1:5">
      <c r="A690" s="7" t="s">
        <v>345</v>
      </c>
      <c r="B690" s="7" t="s">
        <v>802</v>
      </c>
      <c r="C690" s="8">
        <v>0</v>
      </c>
      <c r="D690" s="8">
        <v>10382.3763</v>
      </c>
      <c r="E690" s="8">
        <v>130230.26489999999</v>
      </c>
    </row>
    <row r="691" spans="1:5">
      <c r="A691" s="7" t="s">
        <v>345</v>
      </c>
      <c r="B691" s="7" t="s">
        <v>803</v>
      </c>
      <c r="C691" s="8">
        <v>0</v>
      </c>
      <c r="D691" s="8">
        <v>25014.507300000001</v>
      </c>
      <c r="E691" s="8">
        <v>155244.77230000001</v>
      </c>
    </row>
    <row r="692" spans="1:5">
      <c r="A692" s="7" t="s">
        <v>345</v>
      </c>
      <c r="B692" s="7" t="s">
        <v>804</v>
      </c>
      <c r="C692" s="8">
        <v>0</v>
      </c>
      <c r="D692" s="8">
        <v>21821.383300000001</v>
      </c>
      <c r="E692" s="8">
        <v>177066.1556</v>
      </c>
    </row>
    <row r="693" spans="1:5">
      <c r="A693" s="7" t="s">
        <v>345</v>
      </c>
      <c r="B693" s="7" t="s">
        <v>805</v>
      </c>
      <c r="C693" s="8">
        <v>44562.986900000004</v>
      </c>
      <c r="D693" s="8">
        <v>0</v>
      </c>
      <c r="E693" s="8">
        <v>132503.1686</v>
      </c>
    </row>
    <row r="694" spans="1:5">
      <c r="A694" s="7" t="s">
        <v>345</v>
      </c>
      <c r="B694" s="7" t="s">
        <v>806</v>
      </c>
      <c r="C694" s="8">
        <v>48894.442000000003</v>
      </c>
      <c r="D694" s="8">
        <v>0</v>
      </c>
      <c r="E694" s="8">
        <v>83608.726599999995</v>
      </c>
    </row>
    <row r="695" spans="1:5">
      <c r="A695" s="7" t="s">
        <v>345</v>
      </c>
      <c r="B695" s="7" t="s">
        <v>807</v>
      </c>
      <c r="C695" s="8">
        <v>0</v>
      </c>
      <c r="D695" s="8">
        <v>440.36869999999999</v>
      </c>
      <c r="E695" s="8">
        <v>3441.0953</v>
      </c>
    </row>
    <row r="696" spans="1:5">
      <c r="A696" s="7" t="s">
        <v>345</v>
      </c>
      <c r="B696" s="7" t="s">
        <v>808</v>
      </c>
      <c r="C696" s="8">
        <v>0</v>
      </c>
      <c r="D696" s="8">
        <v>2026.8333</v>
      </c>
      <c r="E696" s="8">
        <v>5467.9287000000004</v>
      </c>
    </row>
    <row r="697" spans="1:5">
      <c r="A697" s="7" t="s">
        <v>345</v>
      </c>
      <c r="B697" s="7" t="s">
        <v>809</v>
      </c>
      <c r="C697" s="8">
        <v>0</v>
      </c>
      <c r="D697" s="8">
        <v>9012.7160999999996</v>
      </c>
      <c r="E697" s="8">
        <v>59012.714800000002</v>
      </c>
    </row>
    <row r="698" spans="1:5">
      <c r="A698" s="7" t="s">
        <v>345</v>
      </c>
      <c r="B698" s="7" t="s">
        <v>810</v>
      </c>
      <c r="C698" s="8">
        <v>6869.6406999999999</v>
      </c>
      <c r="D698" s="8">
        <v>0</v>
      </c>
      <c r="E698" s="8">
        <v>52143.074099999998</v>
      </c>
    </row>
    <row r="699" spans="1:5">
      <c r="A699" s="7" t="s">
        <v>345</v>
      </c>
      <c r="B699" s="7" t="s">
        <v>811</v>
      </c>
      <c r="C699" s="8">
        <v>0</v>
      </c>
      <c r="D699" s="8">
        <v>11576.6157</v>
      </c>
      <c r="E699" s="8">
        <v>111576.68979999999</v>
      </c>
    </row>
    <row r="700" spans="1:5">
      <c r="A700" s="7" t="s">
        <v>345</v>
      </c>
      <c r="B700" s="7" t="s">
        <v>812</v>
      </c>
      <c r="C700" s="8">
        <v>0</v>
      </c>
      <c r="D700" s="8">
        <v>10850.0332</v>
      </c>
      <c r="E700" s="8">
        <v>122426.723</v>
      </c>
    </row>
    <row r="701" spans="1:5">
      <c r="A701" s="7" t="s">
        <v>345</v>
      </c>
      <c r="B701" s="7" t="s">
        <v>813</v>
      </c>
      <c r="C701" s="8">
        <v>13283.649100000001</v>
      </c>
      <c r="D701" s="8">
        <v>0</v>
      </c>
      <c r="E701" s="8">
        <v>109143.0739</v>
      </c>
    </row>
    <row r="702" spans="1:5">
      <c r="A702" s="7" t="s">
        <v>345</v>
      </c>
      <c r="B702" s="7" t="s">
        <v>814</v>
      </c>
      <c r="C702" s="8">
        <v>0</v>
      </c>
      <c r="D702" s="8">
        <v>35161.9058</v>
      </c>
      <c r="E702" s="8">
        <v>144304.9797</v>
      </c>
    </row>
    <row r="703" spans="1:5">
      <c r="A703" s="7" t="s">
        <v>345</v>
      </c>
      <c r="B703" s="7" t="s">
        <v>815</v>
      </c>
      <c r="C703" s="8">
        <v>0</v>
      </c>
      <c r="D703" s="8">
        <v>41446.182699999998</v>
      </c>
      <c r="E703" s="8">
        <v>185751.1624</v>
      </c>
    </row>
    <row r="704" spans="1:5">
      <c r="A704" s="7" t="s">
        <v>345</v>
      </c>
      <c r="B704" s="7" t="s">
        <v>816</v>
      </c>
      <c r="C704" s="8">
        <v>0</v>
      </c>
      <c r="D704" s="8">
        <v>33277.988299999997</v>
      </c>
      <c r="E704" s="8">
        <v>174725.1508</v>
      </c>
    </row>
    <row r="705" spans="1:5">
      <c r="A705" s="7" t="s">
        <v>345</v>
      </c>
      <c r="B705" s="7" t="s">
        <v>817</v>
      </c>
      <c r="C705" s="8">
        <v>39028.747499999998</v>
      </c>
      <c r="D705" s="8">
        <v>0</v>
      </c>
      <c r="E705" s="8">
        <v>135696.40330000001</v>
      </c>
    </row>
    <row r="706" spans="1:5">
      <c r="A706" s="7" t="s">
        <v>345</v>
      </c>
      <c r="B706" s="7" t="s">
        <v>818</v>
      </c>
      <c r="C706" s="8">
        <v>0</v>
      </c>
      <c r="D706" s="8">
        <v>48170.931400000001</v>
      </c>
      <c r="E706" s="8">
        <v>183867.33470000001</v>
      </c>
    </row>
    <row r="707" spans="1:5">
      <c r="A707" s="7" t="s">
        <v>345</v>
      </c>
      <c r="B707" s="7" t="s">
        <v>819</v>
      </c>
      <c r="C707" s="8">
        <v>0</v>
      </c>
      <c r="D707" s="8">
        <v>23900.6721</v>
      </c>
      <c r="E707" s="8">
        <v>207768.0068</v>
      </c>
    </row>
    <row r="708" spans="1:5">
      <c r="A708" s="7" t="s">
        <v>345</v>
      </c>
      <c r="B708" s="7" t="s">
        <v>820</v>
      </c>
      <c r="C708" s="8">
        <v>0</v>
      </c>
      <c r="D708" s="8">
        <v>25615.863399999998</v>
      </c>
      <c r="E708" s="8">
        <v>233383.8702</v>
      </c>
    </row>
    <row r="709" spans="1:5">
      <c r="A709" s="7" t="s">
        <v>345</v>
      </c>
      <c r="B709" s="7" t="s">
        <v>821</v>
      </c>
      <c r="C709" s="8">
        <v>0</v>
      </c>
      <c r="D709" s="8">
        <v>75622.883300000001</v>
      </c>
      <c r="E709" s="8">
        <v>309006.75349999999</v>
      </c>
    </row>
    <row r="710" spans="1:5">
      <c r="A710" s="7" t="s">
        <v>345</v>
      </c>
      <c r="B710" s="7" t="s">
        <v>822</v>
      </c>
      <c r="C710" s="8">
        <v>64337.355799999998</v>
      </c>
      <c r="D710" s="8">
        <v>0</v>
      </c>
      <c r="E710" s="8">
        <v>244669.3977</v>
      </c>
    </row>
    <row r="711" spans="1:5">
      <c r="A711" s="9" t="s">
        <v>823</v>
      </c>
      <c r="B711" s="9" t="s">
        <v>822</v>
      </c>
      <c r="C711" s="10">
        <v>88.5</v>
      </c>
      <c r="D711" s="8">
        <v>0</v>
      </c>
      <c r="E711" s="8">
        <v>244580.8977</v>
      </c>
    </row>
    <row r="712" spans="1:5">
      <c r="A712" s="7" t="s">
        <v>345</v>
      </c>
      <c r="B712" s="7" t="s">
        <v>824</v>
      </c>
      <c r="C712" s="8">
        <v>0</v>
      </c>
      <c r="D712" s="8">
        <v>124073.1459</v>
      </c>
      <c r="E712" s="8">
        <v>368654.04359999998</v>
      </c>
    </row>
    <row r="713" spans="1:5">
      <c r="A713" s="7" t="s">
        <v>345</v>
      </c>
      <c r="B713" s="7" t="s">
        <v>825</v>
      </c>
      <c r="C713" s="8">
        <v>173792.33360000001</v>
      </c>
      <c r="D713" s="8">
        <v>0</v>
      </c>
      <c r="E713" s="8">
        <v>144861.71</v>
      </c>
    </row>
    <row r="714" spans="1:5">
      <c r="A714" s="7" t="s">
        <v>345</v>
      </c>
      <c r="B714" s="7" t="s">
        <v>826</v>
      </c>
      <c r="C714" s="8">
        <v>0</v>
      </c>
      <c r="D714" s="8">
        <v>37758.178899999999</v>
      </c>
      <c r="E714" s="8">
        <v>182619.88889999999</v>
      </c>
    </row>
    <row r="715" spans="1:5">
      <c r="A715" s="7" t="s">
        <v>345</v>
      </c>
      <c r="B715" s="7" t="s">
        <v>827</v>
      </c>
      <c r="C715" s="8">
        <v>8259.2191999999995</v>
      </c>
      <c r="D715" s="8">
        <v>0</v>
      </c>
      <c r="E715" s="8">
        <v>174360.6697</v>
      </c>
    </row>
    <row r="716" spans="1:5">
      <c r="A716" s="7" t="s">
        <v>345</v>
      </c>
      <c r="B716" s="7" t="s">
        <v>828</v>
      </c>
      <c r="C716" s="8">
        <v>107223.1277</v>
      </c>
      <c r="D716" s="8">
        <v>0</v>
      </c>
      <c r="E716" s="8">
        <v>42137.541899999997</v>
      </c>
    </row>
    <row r="717" spans="1:5">
      <c r="A717" s="7" t="s">
        <v>345</v>
      </c>
      <c r="B717" s="7" t="s">
        <v>829</v>
      </c>
      <c r="C717" s="8">
        <v>5935.2795999999998</v>
      </c>
      <c r="D717" s="8">
        <v>0</v>
      </c>
      <c r="E717" s="8">
        <v>36202.262300000002</v>
      </c>
    </row>
    <row r="718" spans="1:5">
      <c r="A718" s="7" t="s">
        <v>345</v>
      </c>
      <c r="B718" s="7" t="s">
        <v>830</v>
      </c>
      <c r="C718" s="8">
        <v>59.590699999999998</v>
      </c>
      <c r="D718" s="8">
        <v>0</v>
      </c>
      <c r="E718" s="8">
        <v>6142.6716999999999</v>
      </c>
    </row>
    <row r="719" spans="1:5">
      <c r="A719" s="7" t="s">
        <v>345</v>
      </c>
      <c r="B719" s="7" t="s">
        <v>831</v>
      </c>
      <c r="C719" s="8">
        <v>0</v>
      </c>
      <c r="D719" s="8">
        <v>13129.091200000001</v>
      </c>
      <c r="E719" s="8">
        <v>69271.762799999997</v>
      </c>
    </row>
    <row r="720" spans="1:5">
      <c r="A720" s="7" t="s">
        <v>345</v>
      </c>
      <c r="B720" s="7" t="s">
        <v>832</v>
      </c>
      <c r="C720" s="8">
        <v>11987.6842</v>
      </c>
      <c r="D720" s="8">
        <v>0</v>
      </c>
      <c r="E720" s="8">
        <v>57284.078699999998</v>
      </c>
    </row>
    <row r="721" spans="1:5">
      <c r="A721" s="7" t="s">
        <v>345</v>
      </c>
      <c r="B721" s="7" t="s">
        <v>833</v>
      </c>
      <c r="C721" s="8">
        <v>0</v>
      </c>
      <c r="D721" s="8">
        <v>1146.3553999999999</v>
      </c>
      <c r="E721" s="8">
        <v>101430.4341</v>
      </c>
    </row>
    <row r="722" spans="1:5">
      <c r="A722" s="7" t="s">
        <v>345</v>
      </c>
      <c r="B722" s="7" t="s">
        <v>834</v>
      </c>
      <c r="C722" s="8">
        <v>128520.2009</v>
      </c>
      <c r="D722" s="8">
        <v>0</v>
      </c>
      <c r="E722" s="8">
        <v>2910.2330999999999</v>
      </c>
    </row>
    <row r="723" spans="1:5">
      <c r="A723" s="7" t="s">
        <v>345</v>
      </c>
      <c r="B723" s="7" t="s">
        <v>835</v>
      </c>
      <c r="C723" s="8">
        <v>0</v>
      </c>
      <c r="D723" s="8">
        <v>1833.7695000000001</v>
      </c>
      <c r="E723" s="8">
        <v>24744.0026</v>
      </c>
    </row>
    <row r="724" spans="1:5">
      <c r="A724" s="7" t="s">
        <v>345</v>
      </c>
      <c r="B724" s="7" t="s">
        <v>836</v>
      </c>
      <c r="C724" s="8">
        <v>0</v>
      </c>
      <c r="D724" s="8">
        <v>12330.742899999999</v>
      </c>
      <c r="E724" s="8">
        <v>54164.515500000001</v>
      </c>
    </row>
    <row r="725" spans="1:5">
      <c r="A725" s="7" t="s">
        <v>345</v>
      </c>
      <c r="B725" s="7" t="s">
        <v>837</v>
      </c>
      <c r="C725" s="8">
        <v>0</v>
      </c>
      <c r="D725" s="8">
        <v>1800.4091000000001</v>
      </c>
      <c r="E725" s="8">
        <v>34131.154600000002</v>
      </c>
    </row>
    <row r="726" spans="1:5">
      <c r="A726" s="7" t="s">
        <v>345</v>
      </c>
      <c r="B726" s="7" t="s">
        <v>838</v>
      </c>
      <c r="C726" s="8">
        <v>6967.9570000000003</v>
      </c>
      <c r="D726" s="8">
        <v>0</v>
      </c>
      <c r="E726" s="8">
        <v>24833.1976</v>
      </c>
    </row>
    <row r="727" spans="1:5">
      <c r="A727" s="7" t="s">
        <v>345</v>
      </c>
      <c r="B727" s="7" t="s">
        <v>839</v>
      </c>
      <c r="C727" s="8">
        <v>0</v>
      </c>
      <c r="D727" s="8">
        <v>3538.8845000000001</v>
      </c>
      <c r="E727" s="8">
        <v>28372.081999999999</v>
      </c>
    </row>
    <row r="728" spans="1:5">
      <c r="A728" s="7" t="s">
        <v>345</v>
      </c>
      <c r="B728" s="7" t="s">
        <v>840</v>
      </c>
      <c r="C728" s="8">
        <v>21327.6201</v>
      </c>
      <c r="D728" s="8">
        <v>0</v>
      </c>
      <c r="E728" s="8">
        <v>7044.4619000000002</v>
      </c>
    </row>
    <row r="729" spans="1:5">
      <c r="A729" s="7" t="s">
        <v>345</v>
      </c>
      <c r="B729" s="7" t="s">
        <v>841</v>
      </c>
      <c r="C729" s="8">
        <v>0</v>
      </c>
      <c r="D729" s="8">
        <v>3467.4497999999999</v>
      </c>
      <c r="E729" s="8">
        <v>10511.911700000001</v>
      </c>
    </row>
    <row r="730" spans="1:5">
      <c r="A730" s="7" t="s">
        <v>345</v>
      </c>
      <c r="B730" s="7" t="s">
        <v>842</v>
      </c>
      <c r="C730" s="8">
        <v>5488.3014000000003</v>
      </c>
      <c r="D730" s="8">
        <v>0</v>
      </c>
      <c r="E730" s="8">
        <v>5023.6103000000003</v>
      </c>
    </row>
    <row r="731" spans="1:5">
      <c r="A731" s="7" t="s">
        <v>345</v>
      </c>
      <c r="B731" s="7" t="s">
        <v>843</v>
      </c>
      <c r="C731" s="8">
        <v>0</v>
      </c>
      <c r="D731" s="8">
        <v>9828.9179999999997</v>
      </c>
      <c r="E731" s="8">
        <v>37852.528299999998</v>
      </c>
    </row>
    <row r="732" spans="1:5">
      <c r="A732" s="7" t="s">
        <v>345</v>
      </c>
      <c r="B732" s="7" t="s">
        <v>844</v>
      </c>
      <c r="C732" s="8">
        <v>0</v>
      </c>
      <c r="D732" s="8">
        <v>35326.881500000003</v>
      </c>
      <c r="E732" s="8">
        <v>108179.40979999999</v>
      </c>
    </row>
    <row r="733" spans="1:5">
      <c r="A733" s="7" t="s">
        <v>345</v>
      </c>
      <c r="B733" s="7" t="s">
        <v>845</v>
      </c>
      <c r="C733" s="8">
        <v>0</v>
      </c>
      <c r="D733" s="8">
        <v>36398.493300000002</v>
      </c>
      <c r="E733" s="8">
        <v>144577.90299999999</v>
      </c>
    </row>
    <row r="734" spans="1:5">
      <c r="A734" s="7" t="s">
        <v>345</v>
      </c>
      <c r="B734" s="7" t="s">
        <v>846</v>
      </c>
      <c r="C734" s="8">
        <v>0</v>
      </c>
      <c r="D734" s="8">
        <v>58502.2673</v>
      </c>
      <c r="E734" s="8">
        <v>203080.1704</v>
      </c>
    </row>
    <row r="735" spans="1:5">
      <c r="A735" s="7" t="s">
        <v>345</v>
      </c>
      <c r="B735" s="7" t="s">
        <v>847</v>
      </c>
      <c r="C735" s="8">
        <v>0</v>
      </c>
      <c r="D735" s="8">
        <v>13319.369500000001</v>
      </c>
      <c r="E735" s="8">
        <v>116399.5398</v>
      </c>
    </row>
    <row r="736" spans="1:5">
      <c r="A736" s="7" t="s">
        <v>345</v>
      </c>
      <c r="B736" s="7" t="s">
        <v>848</v>
      </c>
      <c r="C736" s="8">
        <v>0</v>
      </c>
      <c r="D736" s="8">
        <v>8028.5829999999996</v>
      </c>
      <c r="E736" s="8">
        <v>124428.1229</v>
      </c>
    </row>
    <row r="737" spans="1:5">
      <c r="A737" s="7" t="s">
        <v>345</v>
      </c>
      <c r="B737" s="7" t="s">
        <v>849</v>
      </c>
      <c r="C737" s="8">
        <v>95453.894899999999</v>
      </c>
      <c r="D737" s="8">
        <v>0</v>
      </c>
      <c r="E737" s="8">
        <v>62974.228000000003</v>
      </c>
    </row>
    <row r="738" spans="1:5">
      <c r="A738" s="7" t="s">
        <v>345</v>
      </c>
      <c r="B738" s="7" t="s">
        <v>850</v>
      </c>
      <c r="C738" s="8">
        <v>18445.636500000001</v>
      </c>
      <c r="D738" s="8">
        <v>0</v>
      </c>
      <c r="E738" s="8">
        <v>44528.591500000002</v>
      </c>
    </row>
    <row r="739" spans="1:5">
      <c r="A739" s="7" t="s">
        <v>345</v>
      </c>
      <c r="B739" s="7" t="s">
        <v>851</v>
      </c>
      <c r="C739" s="8">
        <v>7087.5105999999996</v>
      </c>
      <c r="D739" s="8">
        <v>0</v>
      </c>
      <c r="E739" s="8">
        <v>37441.080999999998</v>
      </c>
    </row>
    <row r="740" spans="1:5">
      <c r="A740" s="7" t="s">
        <v>345</v>
      </c>
      <c r="B740" s="7" t="s">
        <v>852</v>
      </c>
      <c r="C740" s="8">
        <v>0</v>
      </c>
      <c r="D740" s="8">
        <v>13957.079400000001</v>
      </c>
      <c r="E740" s="8">
        <v>51398.160400000001</v>
      </c>
    </row>
    <row r="741" spans="1:5">
      <c r="A741" s="7" t="s">
        <v>345</v>
      </c>
      <c r="B741" s="7" t="s">
        <v>853</v>
      </c>
      <c r="C741" s="8">
        <v>0</v>
      </c>
      <c r="D741" s="8">
        <v>14703.9301</v>
      </c>
      <c r="E741" s="8">
        <v>66102.090500000006</v>
      </c>
    </row>
    <row r="742" spans="1:5">
      <c r="A742" s="7" t="s">
        <v>345</v>
      </c>
      <c r="B742" s="7" t="s">
        <v>854</v>
      </c>
      <c r="C742" s="8">
        <v>17932.155999999999</v>
      </c>
      <c r="D742" s="8">
        <v>0</v>
      </c>
      <c r="E742" s="8">
        <v>48169.934399999998</v>
      </c>
    </row>
    <row r="743" spans="1:5">
      <c r="A743" s="7" t="s">
        <v>345</v>
      </c>
      <c r="B743" s="7" t="s">
        <v>855</v>
      </c>
      <c r="C743" s="8">
        <v>0</v>
      </c>
      <c r="D743" s="8">
        <v>19602.767599999999</v>
      </c>
      <c r="E743" s="8">
        <v>67772.702000000005</v>
      </c>
    </row>
    <row r="744" spans="1:5">
      <c r="A744" s="7" t="s">
        <v>345</v>
      </c>
      <c r="B744" s="7" t="s">
        <v>856</v>
      </c>
      <c r="C744" s="8">
        <v>0</v>
      </c>
      <c r="D744" s="8">
        <v>17385.4575</v>
      </c>
      <c r="E744" s="8">
        <v>85158.159499999994</v>
      </c>
    </row>
    <row r="745" spans="1:5">
      <c r="A745" s="7" t="s">
        <v>345</v>
      </c>
      <c r="B745" s="7" t="s">
        <v>857</v>
      </c>
      <c r="C745" s="8">
        <v>72840.942899999995</v>
      </c>
      <c r="D745" s="8">
        <v>0</v>
      </c>
      <c r="E745" s="8">
        <v>14148.2166</v>
      </c>
    </row>
    <row r="746" spans="1:5">
      <c r="A746" s="7" t="s">
        <v>345</v>
      </c>
      <c r="B746" s="7" t="s">
        <v>858</v>
      </c>
      <c r="C746" s="8">
        <v>44861.791100000002</v>
      </c>
      <c r="D746" s="8">
        <v>0</v>
      </c>
      <c r="E746" s="8">
        <v>9256.4256000000005</v>
      </c>
    </row>
    <row r="747" spans="1:5">
      <c r="A747" s="7" t="s">
        <v>345</v>
      </c>
      <c r="B747" s="7" t="s">
        <v>859</v>
      </c>
      <c r="C747" s="8">
        <v>6025.9781999999996</v>
      </c>
      <c r="D747" s="8">
        <v>0</v>
      </c>
      <c r="E747" s="8">
        <v>3230.4474</v>
      </c>
    </row>
    <row r="748" spans="1:5">
      <c r="A748" s="7" t="s">
        <v>345</v>
      </c>
      <c r="B748" s="7" t="s">
        <v>860</v>
      </c>
      <c r="C748" s="8">
        <v>0</v>
      </c>
      <c r="D748" s="8">
        <v>9953.9851999999992</v>
      </c>
      <c r="E748" s="8">
        <v>56888.432500000003</v>
      </c>
    </row>
    <row r="749" spans="1:5">
      <c r="A749" s="7" t="s">
        <v>345</v>
      </c>
      <c r="B749" s="7" t="s">
        <v>861</v>
      </c>
      <c r="C749" s="8">
        <v>12532.297200000001</v>
      </c>
      <c r="D749" s="8">
        <v>0</v>
      </c>
      <c r="E749" s="8">
        <v>33421.688000000002</v>
      </c>
    </row>
    <row r="750" spans="1:5">
      <c r="A750" s="7" t="s">
        <v>345</v>
      </c>
      <c r="B750" s="7" t="s">
        <v>862</v>
      </c>
      <c r="C750" s="8">
        <v>0</v>
      </c>
      <c r="D750" s="8">
        <v>31800.819899999999</v>
      </c>
      <c r="E750" s="8">
        <v>125222.5079</v>
      </c>
    </row>
    <row r="751" spans="1:5">
      <c r="A751" s="7" t="s">
        <v>345</v>
      </c>
      <c r="B751" s="7" t="s">
        <v>863</v>
      </c>
      <c r="C751" s="8">
        <v>71416.876799999998</v>
      </c>
      <c r="D751" s="8">
        <v>0</v>
      </c>
      <c r="E751" s="8">
        <v>70805.631099999999</v>
      </c>
    </row>
    <row r="752" spans="1:5">
      <c r="A752" s="7" t="s">
        <v>345</v>
      </c>
      <c r="B752" s="7" t="s">
        <v>864</v>
      </c>
      <c r="C752" s="8">
        <v>0</v>
      </c>
      <c r="D752" s="8">
        <v>12234.7564</v>
      </c>
      <c r="E752" s="8">
        <v>83040.387600000002</v>
      </c>
    </row>
    <row r="753" spans="1:5">
      <c r="A753" s="7" t="s">
        <v>345</v>
      </c>
      <c r="B753" s="7" t="s">
        <v>865</v>
      </c>
      <c r="C753" s="8">
        <v>0</v>
      </c>
      <c r="D753" s="8">
        <v>4131.4585999999999</v>
      </c>
      <c r="E753" s="8">
        <v>87171.8462</v>
      </c>
    </row>
    <row r="754" spans="1:5">
      <c r="A754" s="7" t="s">
        <v>345</v>
      </c>
      <c r="B754" s="7" t="s">
        <v>866</v>
      </c>
      <c r="C754" s="8">
        <v>0</v>
      </c>
      <c r="D754" s="8">
        <v>5075.9804999999997</v>
      </c>
      <c r="E754" s="8">
        <v>33247.8266</v>
      </c>
    </row>
    <row r="755" spans="1:5">
      <c r="A755" s="7" t="s">
        <v>345</v>
      </c>
      <c r="B755" s="7" t="s">
        <v>867</v>
      </c>
      <c r="C755" s="8">
        <v>85923.524900000004</v>
      </c>
      <c r="D755" s="8">
        <v>0</v>
      </c>
      <c r="E755" s="8">
        <v>-52675.698299999996</v>
      </c>
    </row>
    <row r="756" spans="1:5">
      <c r="A756" s="7" t="s">
        <v>345</v>
      </c>
      <c r="B756" s="7" t="s">
        <v>868</v>
      </c>
      <c r="C756" s="8">
        <v>18130.124199999998</v>
      </c>
      <c r="D756" s="8">
        <v>0</v>
      </c>
      <c r="E756" s="8">
        <v>24194.177500000002</v>
      </c>
    </row>
    <row r="757" spans="1:5">
      <c r="A757" s="7" t="s">
        <v>345</v>
      </c>
      <c r="B757" s="7" t="s">
        <v>869</v>
      </c>
      <c r="C757" s="8">
        <v>0</v>
      </c>
      <c r="D757" s="8">
        <v>18944.0965</v>
      </c>
      <c r="E757" s="8">
        <v>63138.273999999998</v>
      </c>
    </row>
    <row r="758" spans="1:5">
      <c r="A758" s="7" t="s">
        <v>345</v>
      </c>
      <c r="B758" s="7" t="s">
        <v>870</v>
      </c>
      <c r="C758" s="8">
        <v>0</v>
      </c>
      <c r="D758" s="8">
        <v>14491.136699999999</v>
      </c>
      <c r="E758" s="8">
        <v>77629.410699999993</v>
      </c>
    </row>
    <row r="759" spans="1:5">
      <c r="A759" s="7" t="s">
        <v>345</v>
      </c>
      <c r="B759" s="7" t="s">
        <v>871</v>
      </c>
      <c r="C759" s="8">
        <v>28460.792399999998</v>
      </c>
      <c r="D759" s="8">
        <v>0</v>
      </c>
      <c r="E759" s="8">
        <v>49168.618399999999</v>
      </c>
    </row>
    <row r="760" spans="1:5">
      <c r="A760" s="7" t="s">
        <v>345</v>
      </c>
      <c r="B760" s="7" t="s">
        <v>872</v>
      </c>
      <c r="C760" s="8">
        <v>977.07389999999998</v>
      </c>
      <c r="D760" s="8">
        <v>0</v>
      </c>
      <c r="E760" s="8">
        <v>48191.544399999999</v>
      </c>
    </row>
    <row r="761" spans="1:5">
      <c r="A761" s="7" t="s">
        <v>345</v>
      </c>
      <c r="B761" s="7" t="s">
        <v>873</v>
      </c>
      <c r="C761" s="8">
        <v>0</v>
      </c>
      <c r="D761" s="8">
        <v>10673.113600000001</v>
      </c>
      <c r="E761" s="8">
        <v>60673.1181</v>
      </c>
    </row>
    <row r="762" spans="1:5">
      <c r="A762" s="7" t="s">
        <v>345</v>
      </c>
      <c r="B762" s="7" t="s">
        <v>874</v>
      </c>
      <c r="C762" s="8">
        <v>0</v>
      </c>
      <c r="D762" s="8">
        <v>2598.8627000000001</v>
      </c>
      <c r="E762" s="8">
        <v>63271.980799999998</v>
      </c>
    </row>
    <row r="763" spans="1:5">
      <c r="A763" s="7" t="s">
        <v>345</v>
      </c>
      <c r="B763" s="7" t="s">
        <v>875</v>
      </c>
      <c r="C763" s="8">
        <v>0</v>
      </c>
      <c r="D763" s="8">
        <v>17303.847600000001</v>
      </c>
      <c r="E763" s="8">
        <v>80575.828399999999</v>
      </c>
    </row>
    <row r="764" spans="1:5">
      <c r="A764" s="7" t="s">
        <v>345</v>
      </c>
      <c r="B764" s="7" t="s">
        <v>876</v>
      </c>
      <c r="C764" s="8">
        <v>0</v>
      </c>
      <c r="D764" s="8">
        <v>8611.5277999999998</v>
      </c>
      <c r="E764" s="8">
        <v>89187.356199999995</v>
      </c>
    </row>
    <row r="765" spans="1:5">
      <c r="A765" s="7" t="s">
        <v>345</v>
      </c>
      <c r="B765" s="7" t="s">
        <v>877</v>
      </c>
      <c r="C765" s="8">
        <v>0</v>
      </c>
      <c r="D765" s="8">
        <v>25371.106199999998</v>
      </c>
      <c r="E765" s="8">
        <v>111983.4624</v>
      </c>
    </row>
    <row r="766" spans="1:5">
      <c r="A766" s="7" t="s">
        <v>345</v>
      </c>
      <c r="B766" s="7" t="s">
        <v>878</v>
      </c>
      <c r="C766" s="8">
        <v>19034.168799999999</v>
      </c>
      <c r="D766" s="8">
        <v>0</v>
      </c>
      <c r="E766" s="8">
        <v>84337.293699999995</v>
      </c>
    </row>
    <row r="767" spans="1:5">
      <c r="A767" s="7" t="s">
        <v>345</v>
      </c>
      <c r="B767" s="7" t="s">
        <v>879</v>
      </c>
      <c r="C767" s="8">
        <v>0</v>
      </c>
      <c r="D767" s="8">
        <v>407.60489999999999</v>
      </c>
      <c r="E767" s="8">
        <v>104744.8986</v>
      </c>
    </row>
    <row r="768" spans="1:5">
      <c r="A768" s="7" t="s">
        <v>345</v>
      </c>
      <c r="B768" s="7" t="s">
        <v>880</v>
      </c>
      <c r="C768" s="8">
        <v>15607.130499999999</v>
      </c>
      <c r="D768" s="8">
        <v>0</v>
      </c>
      <c r="E768" s="8">
        <v>73137.768100000001</v>
      </c>
    </row>
    <row r="769" spans="1:5">
      <c r="A769" s="7" t="s">
        <v>345</v>
      </c>
      <c r="B769" s="7" t="s">
        <v>881</v>
      </c>
      <c r="C769" s="8">
        <v>0</v>
      </c>
      <c r="D769" s="8">
        <v>21993.8822</v>
      </c>
      <c r="E769" s="8">
        <v>95131.650299999994</v>
      </c>
    </row>
    <row r="770" spans="1:5">
      <c r="A770" s="7" t="s">
        <v>345</v>
      </c>
      <c r="B770" s="7" t="s">
        <v>882</v>
      </c>
      <c r="C770" s="8">
        <v>64125.778400000003</v>
      </c>
      <c r="D770" s="8">
        <v>0</v>
      </c>
      <c r="E770" s="8">
        <v>31005.871899999998</v>
      </c>
    </row>
    <row r="771" spans="1:5">
      <c r="A771" s="7" t="s">
        <v>345</v>
      </c>
      <c r="B771" s="7" t="s">
        <v>883</v>
      </c>
      <c r="C771" s="8">
        <v>0</v>
      </c>
      <c r="D771" s="8">
        <v>20029.0628</v>
      </c>
      <c r="E771" s="8">
        <v>101034.9347</v>
      </c>
    </row>
    <row r="772" spans="1:5">
      <c r="A772" s="7" t="s">
        <v>345</v>
      </c>
      <c r="B772" s="7" t="s">
        <v>884</v>
      </c>
      <c r="C772" s="8">
        <v>0</v>
      </c>
      <c r="D772" s="8">
        <v>21809.6682</v>
      </c>
      <c r="E772" s="8">
        <v>91838.732799999998</v>
      </c>
    </row>
    <row r="773" spans="1:5">
      <c r="A773" s="7" t="s">
        <v>345</v>
      </c>
      <c r="B773" s="7" t="s">
        <v>885</v>
      </c>
      <c r="C773" s="8">
        <v>0</v>
      </c>
      <c r="D773" s="8">
        <v>668.44780000000003</v>
      </c>
      <c r="E773" s="8">
        <v>52507.180699999997</v>
      </c>
    </row>
    <row r="774" spans="1:5">
      <c r="A774" s="7" t="s">
        <v>345</v>
      </c>
      <c r="B774" s="7" t="s">
        <v>886</v>
      </c>
      <c r="C774" s="8">
        <v>21069.7245</v>
      </c>
      <c r="D774" s="8">
        <v>0</v>
      </c>
      <c r="E774" s="8">
        <v>41437.456200000001</v>
      </c>
    </row>
    <row r="775" spans="1:5">
      <c r="A775" s="7" t="s">
        <v>345</v>
      </c>
      <c r="B775" s="7" t="s">
        <v>887</v>
      </c>
      <c r="C775" s="8">
        <v>0</v>
      </c>
      <c r="D775" s="8">
        <v>4853.3633</v>
      </c>
      <c r="E775" s="8">
        <v>56290.819499999998</v>
      </c>
    </row>
    <row r="776" spans="1:5">
      <c r="A776" s="7" t="s">
        <v>345</v>
      </c>
      <c r="B776" s="7" t="s">
        <v>888</v>
      </c>
      <c r="C776" s="8">
        <v>0</v>
      </c>
      <c r="D776" s="8">
        <v>13998.681</v>
      </c>
      <c r="E776" s="8">
        <v>70289.500499999995</v>
      </c>
    </row>
    <row r="777" spans="1:5">
      <c r="A777" s="7" t="s">
        <v>345</v>
      </c>
      <c r="B777" s="7" t="s">
        <v>889</v>
      </c>
      <c r="C777" s="8">
        <v>31899.391199999998</v>
      </c>
      <c r="D777" s="8">
        <v>0</v>
      </c>
      <c r="E777" s="8">
        <v>38390.109199999999</v>
      </c>
    </row>
    <row r="778" spans="1:5">
      <c r="A778" s="7" t="s">
        <v>345</v>
      </c>
      <c r="B778" s="7" t="s">
        <v>890</v>
      </c>
      <c r="C778" s="8">
        <v>8998.2124000000003</v>
      </c>
      <c r="D778" s="8">
        <v>0</v>
      </c>
      <c r="E778" s="8">
        <v>90769.896800000002</v>
      </c>
    </row>
    <row r="779" spans="1:5">
      <c r="A779" s="7" t="s">
        <v>345</v>
      </c>
      <c r="B779" s="7" t="s">
        <v>891</v>
      </c>
      <c r="C779" s="8">
        <v>0</v>
      </c>
      <c r="D779" s="8">
        <v>14968.8598</v>
      </c>
      <c r="E779" s="8">
        <v>95738.756599999993</v>
      </c>
    </row>
    <row r="780" spans="1:5">
      <c r="A780" s="7" t="s">
        <v>345</v>
      </c>
      <c r="B780" s="7" t="s">
        <v>892</v>
      </c>
      <c r="C780" s="8">
        <v>65004.939700000003</v>
      </c>
      <c r="D780" s="8">
        <v>0</v>
      </c>
      <c r="E780" s="8">
        <v>30733.816900000002</v>
      </c>
    </row>
    <row r="781" spans="1:5">
      <c r="A781" s="7" t="s">
        <v>345</v>
      </c>
      <c r="B781" s="7" t="s">
        <v>893</v>
      </c>
      <c r="C781" s="8">
        <v>0</v>
      </c>
      <c r="D781" s="8">
        <v>9106.5972999999994</v>
      </c>
      <c r="E781" s="8">
        <v>39840.414199999999</v>
      </c>
    </row>
    <row r="782" spans="1:5">
      <c r="A782" s="7" t="s">
        <v>345</v>
      </c>
      <c r="B782" s="7" t="s">
        <v>894</v>
      </c>
      <c r="C782" s="8">
        <v>0</v>
      </c>
      <c r="D782" s="8">
        <v>9356.2764000000006</v>
      </c>
      <c r="E782" s="8">
        <v>43462.870600000002</v>
      </c>
    </row>
    <row r="783" spans="1:5">
      <c r="A783" s="7" t="s">
        <v>345</v>
      </c>
      <c r="B783" s="7" t="s">
        <v>895</v>
      </c>
      <c r="C783" s="8">
        <v>0</v>
      </c>
      <c r="D783" s="8">
        <v>9650.4230000000007</v>
      </c>
      <c r="E783" s="8">
        <v>43113.293599999997</v>
      </c>
    </row>
    <row r="784" spans="1:5">
      <c r="A784" s="7" t="s">
        <v>345</v>
      </c>
      <c r="B784" s="7" t="s">
        <v>896</v>
      </c>
      <c r="C784" s="8">
        <v>6400.3122000000003</v>
      </c>
      <c r="D784" s="8">
        <v>0</v>
      </c>
      <c r="E784" s="8">
        <v>26712.981299999999</v>
      </c>
    </row>
    <row r="785" spans="1:5">
      <c r="A785" s="7" t="s">
        <v>345</v>
      </c>
      <c r="B785" s="7" t="s">
        <v>897</v>
      </c>
      <c r="C785" s="8">
        <v>0</v>
      </c>
      <c r="D785" s="8">
        <v>6198.2331000000004</v>
      </c>
      <c r="E785" s="8">
        <v>36198.234400000001</v>
      </c>
    </row>
    <row r="786" spans="1:5">
      <c r="A786" s="7" t="s">
        <v>345</v>
      </c>
      <c r="B786" s="7" t="s">
        <v>898</v>
      </c>
      <c r="C786" s="8">
        <v>0</v>
      </c>
      <c r="D786" s="8">
        <v>109.5705</v>
      </c>
      <c r="E786" s="8">
        <v>46307.804900000003</v>
      </c>
    </row>
    <row r="787" spans="1:5">
      <c r="A787" s="7" t="s">
        <v>345</v>
      </c>
      <c r="B787" s="7" t="s">
        <v>899</v>
      </c>
      <c r="C787" s="8">
        <v>0</v>
      </c>
      <c r="D787" s="8">
        <v>12052.235000000001</v>
      </c>
      <c r="E787" s="8">
        <v>42162.039900000003</v>
      </c>
    </row>
    <row r="788" spans="1:5">
      <c r="A788" s="7" t="s">
        <v>345</v>
      </c>
      <c r="B788" s="7" t="s">
        <v>900</v>
      </c>
      <c r="C788" s="8">
        <v>48942.6342</v>
      </c>
      <c r="D788" s="8">
        <v>0</v>
      </c>
      <c r="E788" s="8">
        <v>22219.405699999999</v>
      </c>
    </row>
    <row r="789" spans="1:5">
      <c r="A789" s="7" t="s">
        <v>345</v>
      </c>
      <c r="B789" s="7" t="s">
        <v>901</v>
      </c>
      <c r="C789" s="8">
        <v>0</v>
      </c>
      <c r="D789" s="8">
        <v>8273.6232</v>
      </c>
      <c r="E789" s="8">
        <v>60493.0288</v>
      </c>
    </row>
    <row r="790" spans="1:5">
      <c r="A790" s="7" t="s">
        <v>345</v>
      </c>
      <c r="B790" s="7" t="s">
        <v>902</v>
      </c>
      <c r="C790" s="8">
        <v>14804.794900000001</v>
      </c>
      <c r="D790" s="8">
        <v>0</v>
      </c>
      <c r="E790" s="8">
        <v>39688.233999999997</v>
      </c>
    </row>
    <row r="791" spans="1:5">
      <c r="A791" s="7" t="s">
        <v>345</v>
      </c>
      <c r="B791" s="7" t="s">
        <v>903</v>
      </c>
      <c r="C791" s="8">
        <v>0</v>
      </c>
      <c r="D791" s="8">
        <v>13321.430200000001</v>
      </c>
      <c r="E791" s="8">
        <v>49321.434099999999</v>
      </c>
    </row>
    <row r="792" spans="1:5">
      <c r="A792" s="7" t="s">
        <v>345</v>
      </c>
      <c r="B792" s="7" t="s">
        <v>904</v>
      </c>
      <c r="C792" s="8">
        <v>27810.373599999999</v>
      </c>
      <c r="D792" s="8">
        <v>0</v>
      </c>
      <c r="E792" s="8">
        <v>23511.060600000001</v>
      </c>
    </row>
    <row r="793" spans="1:5">
      <c r="A793" s="7" t="s">
        <v>345</v>
      </c>
      <c r="B793" s="7" t="s">
        <v>905</v>
      </c>
      <c r="C793" s="8">
        <v>20120.395499999999</v>
      </c>
      <c r="D793" s="8">
        <v>0</v>
      </c>
      <c r="E793" s="8">
        <v>3390.6651000000002</v>
      </c>
    </row>
    <row r="794" spans="1:5">
      <c r="A794" s="7" t="s">
        <v>345</v>
      </c>
      <c r="B794" s="7" t="s">
        <v>906</v>
      </c>
      <c r="C794" s="8">
        <v>291.91059999999999</v>
      </c>
      <c r="D794" s="8">
        <v>0</v>
      </c>
      <c r="E794" s="8">
        <v>10098.7546</v>
      </c>
    </row>
    <row r="795" spans="1:5">
      <c r="A795" s="7" t="s">
        <v>345</v>
      </c>
      <c r="B795" s="7" t="s">
        <v>907</v>
      </c>
      <c r="C795" s="8">
        <v>14754.1731</v>
      </c>
      <c r="D795" s="8">
        <v>0</v>
      </c>
      <c r="E795" s="8">
        <v>2344.5814</v>
      </c>
    </row>
    <row r="796" spans="1:5">
      <c r="A796" s="7" t="s">
        <v>345</v>
      </c>
      <c r="B796" s="7" t="s">
        <v>908</v>
      </c>
      <c r="C796" s="8">
        <v>0</v>
      </c>
      <c r="D796" s="8">
        <v>21169.479200000002</v>
      </c>
      <c r="E796" s="8">
        <v>62334.060599999997</v>
      </c>
    </row>
    <row r="797" spans="1:5">
      <c r="A797" s="7" t="s">
        <v>345</v>
      </c>
      <c r="B797" s="7" t="s">
        <v>909</v>
      </c>
      <c r="C797" s="8">
        <v>0</v>
      </c>
      <c r="D797" s="8">
        <v>17059.803500000002</v>
      </c>
      <c r="E797" s="8">
        <v>79393.864100000006</v>
      </c>
    </row>
    <row r="798" spans="1:5">
      <c r="A798" s="7" t="s">
        <v>345</v>
      </c>
      <c r="B798" s="7" t="s">
        <v>910</v>
      </c>
      <c r="C798" s="8">
        <v>0</v>
      </c>
      <c r="D798" s="8">
        <v>12227.8465</v>
      </c>
      <c r="E798" s="8">
        <v>91621.710699999996</v>
      </c>
    </row>
    <row r="799" spans="1:5">
      <c r="A799" s="7" t="s">
        <v>345</v>
      </c>
      <c r="B799" s="7" t="s">
        <v>911</v>
      </c>
      <c r="C799" s="8">
        <v>20577.816900000002</v>
      </c>
      <c r="D799" s="8">
        <v>0</v>
      </c>
      <c r="E799" s="8">
        <v>71043.893700000001</v>
      </c>
    </row>
    <row r="800" spans="1:5">
      <c r="A800" s="7" t="s">
        <v>345</v>
      </c>
      <c r="B800" s="7" t="s">
        <v>912</v>
      </c>
      <c r="C800" s="8">
        <v>0</v>
      </c>
      <c r="D800" s="8">
        <v>36199.3537</v>
      </c>
      <c r="E800" s="8">
        <v>107243.24739999999</v>
      </c>
    </row>
    <row r="801" spans="1:5">
      <c r="A801" s="7" t="s">
        <v>345</v>
      </c>
      <c r="B801" s="7" t="s">
        <v>913</v>
      </c>
      <c r="C801" s="8">
        <v>0</v>
      </c>
      <c r="D801" s="8">
        <v>20452.728800000001</v>
      </c>
      <c r="E801" s="8">
        <v>106695.97629999999</v>
      </c>
    </row>
    <row r="802" spans="1:5">
      <c r="A802" s="7" t="s">
        <v>345</v>
      </c>
      <c r="B802" s="7" t="s">
        <v>914</v>
      </c>
      <c r="C802" s="8">
        <v>0</v>
      </c>
      <c r="D802" s="8">
        <v>34953.304900000003</v>
      </c>
      <c r="E802" s="8">
        <v>125649.2812</v>
      </c>
    </row>
    <row r="803" spans="1:5">
      <c r="A803" s="7" t="s">
        <v>345</v>
      </c>
      <c r="B803" s="7" t="s">
        <v>915</v>
      </c>
      <c r="C803" s="8">
        <v>0</v>
      </c>
      <c r="D803" s="8">
        <v>17360.100600000002</v>
      </c>
      <c r="E803" s="8">
        <v>122314.3818</v>
      </c>
    </row>
    <row r="804" spans="1:5">
      <c r="A804" s="9" t="s">
        <v>916</v>
      </c>
      <c r="B804" s="9" t="s">
        <v>917</v>
      </c>
      <c r="C804" s="10">
        <v>88.5</v>
      </c>
      <c r="D804" s="8">
        <v>0</v>
      </c>
      <c r="E804" s="8">
        <v>17271.881799999999</v>
      </c>
    </row>
    <row r="805" spans="1:5">
      <c r="A805" s="7" t="s">
        <v>345</v>
      </c>
      <c r="B805" s="7" t="s">
        <v>918</v>
      </c>
      <c r="C805" s="8">
        <v>0</v>
      </c>
      <c r="D805" s="8">
        <v>566.52369999999996</v>
      </c>
      <c r="E805" s="8">
        <v>47838.405400000003</v>
      </c>
    </row>
    <row r="806" spans="1:5">
      <c r="A806" s="7" t="s">
        <v>345</v>
      </c>
      <c r="B806" s="7" t="s">
        <v>919</v>
      </c>
      <c r="C806" s="8">
        <v>89021.260899999994</v>
      </c>
      <c r="D806" s="8">
        <v>0</v>
      </c>
      <c r="E806" s="8">
        <v>7817.1445999999996</v>
      </c>
    </row>
    <row r="807" spans="1:5">
      <c r="A807" s="7" t="s">
        <v>345</v>
      </c>
      <c r="B807" s="7" t="s">
        <v>920</v>
      </c>
      <c r="C807" s="8">
        <v>0</v>
      </c>
      <c r="D807" s="8">
        <v>384.3562</v>
      </c>
      <c r="E807" s="8">
        <v>43201.500699999997</v>
      </c>
    </row>
    <row r="808" spans="1:5">
      <c r="A808" s="7" t="s">
        <v>345</v>
      </c>
      <c r="B808" s="7" t="s">
        <v>921</v>
      </c>
      <c r="C808" s="8">
        <v>3017.1720999999998</v>
      </c>
      <c r="D808" s="8">
        <v>0</v>
      </c>
      <c r="E808" s="8">
        <v>40184.328699999998</v>
      </c>
    </row>
    <row r="809" spans="1:5">
      <c r="A809" s="7" t="s">
        <v>345</v>
      </c>
      <c r="B809" s="7" t="s">
        <v>922</v>
      </c>
      <c r="C809" s="8">
        <v>0</v>
      </c>
      <c r="D809" s="8">
        <v>4310.7285000000002</v>
      </c>
      <c r="E809" s="8">
        <v>10495.057199999999</v>
      </c>
    </row>
    <row r="810" spans="1:5">
      <c r="A810" s="7" t="s">
        <v>345</v>
      </c>
      <c r="B810" s="7" t="s">
        <v>923</v>
      </c>
      <c r="C810" s="8">
        <v>0</v>
      </c>
      <c r="D810" s="8">
        <v>4111.3874999999998</v>
      </c>
      <c r="E810" s="8">
        <v>15422.114600000001</v>
      </c>
    </row>
    <row r="811" spans="1:5">
      <c r="A811" s="7" t="s">
        <v>345</v>
      </c>
      <c r="B811" s="7" t="s">
        <v>924</v>
      </c>
      <c r="C811" s="8">
        <v>0</v>
      </c>
      <c r="D811" s="8">
        <v>22790.770700000001</v>
      </c>
      <c r="E811" s="8">
        <v>63902.885300000002</v>
      </c>
    </row>
    <row r="812" spans="1:5">
      <c r="A812" s="7" t="s">
        <v>345</v>
      </c>
      <c r="B812" s="7" t="s">
        <v>925</v>
      </c>
      <c r="C812" s="8">
        <v>24377.1302</v>
      </c>
      <c r="D812" s="8">
        <v>0</v>
      </c>
      <c r="E812" s="8">
        <v>28413.755099999998</v>
      </c>
    </row>
    <row r="813" spans="1:5">
      <c r="A813" s="7" t="s">
        <v>345</v>
      </c>
      <c r="B813" s="7" t="s">
        <v>926</v>
      </c>
      <c r="C813" s="8">
        <v>0</v>
      </c>
      <c r="D813" s="8">
        <v>20047.8017</v>
      </c>
      <c r="E813" s="8">
        <v>65861.556800000006</v>
      </c>
    </row>
    <row r="814" spans="1:5">
      <c r="A814" s="7" t="s">
        <v>345</v>
      </c>
      <c r="B814" s="7" t="s">
        <v>927</v>
      </c>
      <c r="C814" s="8">
        <v>0</v>
      </c>
      <c r="D814" s="8">
        <v>16682.501499999998</v>
      </c>
      <c r="E814" s="8">
        <v>135131.0583</v>
      </c>
    </row>
    <row r="815" spans="1:5">
      <c r="A815" s="7" t="s">
        <v>345</v>
      </c>
      <c r="B815" s="7" t="s">
        <v>928</v>
      </c>
      <c r="C815" s="8">
        <v>15425.4712</v>
      </c>
      <c r="D815" s="8">
        <v>0</v>
      </c>
      <c r="E815" s="8">
        <v>94257.587100000004</v>
      </c>
    </row>
    <row r="816" spans="1:5">
      <c r="A816" s="7" t="s">
        <v>345</v>
      </c>
      <c r="B816" s="7" t="s">
        <v>929</v>
      </c>
      <c r="C816" s="8">
        <v>0</v>
      </c>
      <c r="D816" s="8">
        <v>21522.356</v>
      </c>
      <c r="E816" s="8">
        <v>115779.9431</v>
      </c>
    </row>
    <row r="817" spans="1:5">
      <c r="A817" s="7" t="s">
        <v>345</v>
      </c>
      <c r="B817" s="7" t="s">
        <v>931</v>
      </c>
      <c r="C817" s="8">
        <v>0</v>
      </c>
      <c r="D817" s="8">
        <v>43312.864099999999</v>
      </c>
      <c r="E817" s="8">
        <v>162044.36120000001</v>
      </c>
    </row>
    <row r="818" spans="1:5">
      <c r="A818" s="7" t="s">
        <v>345</v>
      </c>
      <c r="B818" s="7" t="s">
        <v>932</v>
      </c>
      <c r="C818" s="8">
        <v>0</v>
      </c>
      <c r="D818" s="8">
        <v>36361.3966</v>
      </c>
      <c r="E818" s="8">
        <v>190405.75779999999</v>
      </c>
    </row>
    <row r="819" spans="1:5">
      <c r="A819" s="7" t="s">
        <v>345</v>
      </c>
      <c r="B819" s="7" t="s">
        <v>933</v>
      </c>
      <c r="C819" s="8">
        <v>64413.8033</v>
      </c>
      <c r="D819" s="8">
        <v>0</v>
      </c>
      <c r="E819" s="8">
        <v>111991.95450000001</v>
      </c>
    </row>
    <row r="820" spans="1:5">
      <c r="A820" s="7" t="s">
        <v>345</v>
      </c>
      <c r="B820" s="7" t="s">
        <v>934</v>
      </c>
      <c r="C820" s="8">
        <v>0</v>
      </c>
      <c r="D820" s="8">
        <v>74894.834099999993</v>
      </c>
      <c r="E820" s="8">
        <v>192256.2285</v>
      </c>
    </row>
    <row r="821" spans="1:5">
      <c r="A821" s="7" t="s">
        <v>345</v>
      </c>
      <c r="B821" s="7" t="s">
        <v>935</v>
      </c>
      <c r="C821" s="8">
        <v>0</v>
      </c>
      <c r="D821" s="8">
        <v>33787.495499999997</v>
      </c>
      <c r="E821" s="8">
        <v>176043.72409999999</v>
      </c>
    </row>
    <row r="822" spans="1:5">
      <c r="A822" s="7" t="s">
        <v>345</v>
      </c>
      <c r="B822" s="7" t="s">
        <v>936</v>
      </c>
      <c r="C822" s="8">
        <v>0</v>
      </c>
      <c r="D822" s="8">
        <v>20373.0177</v>
      </c>
      <c r="E822" s="8">
        <v>230416.74179999999</v>
      </c>
    </row>
    <row r="823" spans="1:5">
      <c r="A823" s="7" t="s">
        <v>345</v>
      </c>
      <c r="B823" s="7" t="s">
        <v>937</v>
      </c>
      <c r="C823" s="8">
        <v>0</v>
      </c>
      <c r="D823" s="8">
        <v>54597.712299999999</v>
      </c>
      <c r="E823" s="8">
        <v>245014.4541</v>
      </c>
    </row>
    <row r="824" spans="1:5">
      <c r="A824" s="7" t="s">
        <v>345</v>
      </c>
      <c r="B824" s="7" t="s">
        <v>938</v>
      </c>
      <c r="C824" s="8">
        <v>313893.64870000002</v>
      </c>
      <c r="D824" s="8">
        <v>0</v>
      </c>
      <c r="E824" s="8">
        <v>31120.805400000001</v>
      </c>
    </row>
    <row r="825" spans="1:5">
      <c r="A825" s="7" t="s">
        <v>345</v>
      </c>
      <c r="B825" s="7" t="s">
        <v>939</v>
      </c>
      <c r="C825" s="8">
        <v>149228.7874</v>
      </c>
      <c r="D825" s="8">
        <v>0</v>
      </c>
      <c r="E825" s="8">
        <v>30892.018</v>
      </c>
    </row>
    <row r="826" spans="1:5">
      <c r="A826" s="7" t="s">
        <v>345</v>
      </c>
      <c r="B826" s="7" t="s">
        <v>940</v>
      </c>
      <c r="C826" s="8">
        <v>26833.9323</v>
      </c>
      <c r="D826" s="8">
        <v>0</v>
      </c>
      <c r="E826" s="8">
        <v>4058.0857000000001</v>
      </c>
    </row>
    <row r="827" spans="1:5">
      <c r="A827" s="7" t="s">
        <v>345</v>
      </c>
      <c r="B827" s="7" t="s">
        <v>941</v>
      </c>
      <c r="C827" s="8">
        <v>0</v>
      </c>
      <c r="D827" s="8">
        <v>1177.3409999999999</v>
      </c>
      <c r="E827" s="8">
        <v>5235.4267</v>
      </c>
    </row>
    <row r="828" spans="1:5">
      <c r="A828" s="7" t="s">
        <v>345</v>
      </c>
      <c r="B828" s="7" t="s">
        <v>942</v>
      </c>
      <c r="C828" s="8">
        <v>0</v>
      </c>
      <c r="D828" s="8">
        <v>4539.0654999999997</v>
      </c>
      <c r="E828" s="8">
        <v>34114.492200000001</v>
      </c>
    </row>
    <row r="829" spans="1:5">
      <c r="A829" s="7" t="s">
        <v>345</v>
      </c>
      <c r="B829" s="7" t="s">
        <v>943</v>
      </c>
      <c r="C829" s="8">
        <v>57916.322200000002</v>
      </c>
      <c r="D829" s="8">
        <v>0</v>
      </c>
      <c r="E829" s="8">
        <v>36198.17</v>
      </c>
    </row>
    <row r="830" spans="1:5">
      <c r="A830" s="7" t="s">
        <v>345</v>
      </c>
      <c r="B830" s="7" t="s">
        <v>944</v>
      </c>
      <c r="C830" s="8">
        <v>44635.599099999999</v>
      </c>
      <c r="D830" s="8">
        <v>0</v>
      </c>
      <c r="E830" s="8">
        <v>21562.571</v>
      </c>
    </row>
    <row r="831" spans="1:5">
      <c r="A831" s="7" t="s">
        <v>345</v>
      </c>
      <c r="B831" s="7" t="s">
        <v>945</v>
      </c>
      <c r="C831" s="8">
        <v>0</v>
      </c>
      <c r="D831" s="8">
        <v>7403.2819</v>
      </c>
      <c r="E831" s="8">
        <v>28965.852900000002</v>
      </c>
    </row>
    <row r="832" spans="1:5">
      <c r="A832" s="7" t="s">
        <v>345</v>
      </c>
      <c r="B832" s="7" t="s">
        <v>946</v>
      </c>
      <c r="C832" s="8">
        <v>0</v>
      </c>
      <c r="D832" s="8">
        <v>11134.094499999999</v>
      </c>
      <c r="E832" s="8">
        <v>40099.947399999997</v>
      </c>
    </row>
    <row r="833" spans="1:5">
      <c r="A833" s="7" t="s">
        <v>345</v>
      </c>
      <c r="B833" s="7" t="s">
        <v>947</v>
      </c>
      <c r="C833" s="8">
        <v>0</v>
      </c>
      <c r="D833" s="8">
        <v>18119.28</v>
      </c>
      <c r="E833" s="8">
        <v>62254.227400000003</v>
      </c>
    </row>
    <row r="834" spans="1:5">
      <c r="A834" s="7" t="s">
        <v>345</v>
      </c>
      <c r="B834" s="7" t="s">
        <v>948</v>
      </c>
      <c r="C834" s="8">
        <v>0</v>
      </c>
      <c r="D834" s="8">
        <v>9912.6118999999999</v>
      </c>
      <c r="E834" s="8">
        <v>61032.8393</v>
      </c>
    </row>
    <row r="835" spans="1:5">
      <c r="A835" s="7" t="s">
        <v>345</v>
      </c>
      <c r="B835" s="7" t="s">
        <v>930</v>
      </c>
      <c r="C835" s="8">
        <v>0</v>
      </c>
      <c r="D835" s="8">
        <v>31951.554</v>
      </c>
      <c r="E835" s="8">
        <v>143731.49710000001</v>
      </c>
    </row>
    <row r="836" spans="1:5">
      <c r="A836" s="7" t="s">
        <v>345</v>
      </c>
      <c r="B836" s="7" t="s">
        <v>949</v>
      </c>
      <c r="C836" s="8">
        <v>0</v>
      </c>
      <c r="D836" s="8">
        <v>57029.886899999998</v>
      </c>
      <c r="E836" s="8">
        <v>106942.7262</v>
      </c>
    </row>
    <row r="837" spans="1:5">
      <c r="A837" s="7" t="s">
        <v>345</v>
      </c>
      <c r="B837" s="7" t="s">
        <v>950</v>
      </c>
      <c r="C837" s="8">
        <v>72401.037899999996</v>
      </c>
      <c r="D837" s="8">
        <v>0</v>
      </c>
      <c r="E837" s="8">
        <v>37629.688300000002</v>
      </c>
    </row>
    <row r="838" spans="1:5">
      <c r="A838" s="7" t="s">
        <v>345</v>
      </c>
      <c r="B838" s="7" t="s">
        <v>951</v>
      </c>
      <c r="C838" s="8">
        <v>20685.1541</v>
      </c>
      <c r="D838" s="8">
        <v>0</v>
      </c>
      <c r="E838" s="8">
        <v>16314.8442</v>
      </c>
    </row>
    <row r="839" spans="1:5">
      <c r="A839" s="7" t="s">
        <v>345</v>
      </c>
      <c r="B839" s="7" t="s">
        <v>952</v>
      </c>
      <c r="C839" s="8">
        <v>8382.4503999999997</v>
      </c>
      <c r="D839" s="8">
        <v>0</v>
      </c>
      <c r="E839" s="8">
        <v>1618.3939</v>
      </c>
    </row>
    <row r="840" spans="1:5">
      <c r="A840" s="7" t="s">
        <v>345</v>
      </c>
      <c r="B840" s="7" t="s">
        <v>953</v>
      </c>
      <c r="C840" s="8">
        <v>2973.3885</v>
      </c>
      <c r="D840" s="8">
        <v>0</v>
      </c>
      <c r="E840" s="8">
        <v>-354.99459999999999</v>
      </c>
    </row>
    <row r="841" spans="1:5">
      <c r="A841" s="7" t="s">
        <v>345</v>
      </c>
      <c r="B841" s="7" t="s">
        <v>954</v>
      </c>
      <c r="C841" s="8">
        <v>0</v>
      </c>
      <c r="D841" s="8">
        <v>4300.9228000000003</v>
      </c>
      <c r="E841" s="8">
        <v>48945.928099999997</v>
      </c>
    </row>
    <row r="842" spans="1:5">
      <c r="A842" s="7" t="s">
        <v>345</v>
      </c>
      <c r="B842" s="7" t="s">
        <v>955</v>
      </c>
      <c r="C842" s="8">
        <v>2839.1365999999998</v>
      </c>
      <c r="D842" s="8">
        <v>0</v>
      </c>
      <c r="E842" s="8">
        <v>46106.791499999999</v>
      </c>
    </row>
    <row r="843" spans="1:5">
      <c r="A843" s="7" t="s">
        <v>345</v>
      </c>
      <c r="B843" s="7" t="s">
        <v>956</v>
      </c>
      <c r="C843" s="8">
        <v>21523.541300000001</v>
      </c>
      <c r="D843" s="8">
        <v>0</v>
      </c>
      <c r="E843" s="8">
        <v>14583.2502</v>
      </c>
    </row>
    <row r="844" spans="1:5">
      <c r="A844" s="7" t="s">
        <v>345</v>
      </c>
      <c r="B844" s="7" t="s">
        <v>957</v>
      </c>
      <c r="C844" s="8">
        <v>11185.023499999999</v>
      </c>
      <c r="D844" s="8">
        <v>0</v>
      </c>
      <c r="E844" s="8">
        <v>4815.2267000000002</v>
      </c>
    </row>
    <row r="845" spans="1:5">
      <c r="A845" s="7" t="s">
        <v>345</v>
      </c>
      <c r="B845" s="7" t="s">
        <v>958</v>
      </c>
      <c r="C845" s="8">
        <v>0</v>
      </c>
      <c r="D845" s="8">
        <v>2117.8658</v>
      </c>
      <c r="E845" s="8">
        <v>12933.0926</v>
      </c>
    </row>
    <row r="846" spans="1:5">
      <c r="A846" s="7" t="s">
        <v>345</v>
      </c>
      <c r="B846" s="7" t="s">
        <v>959</v>
      </c>
      <c r="C846" s="8">
        <v>0</v>
      </c>
      <c r="D846" s="8">
        <v>3341.5916000000002</v>
      </c>
      <c r="E846" s="8">
        <v>80459.684099999999</v>
      </c>
    </row>
    <row r="847" spans="1:5">
      <c r="A847" s="7" t="s">
        <v>345</v>
      </c>
      <c r="B847" s="7" t="s">
        <v>960</v>
      </c>
      <c r="C847" s="8">
        <v>38218.253400000001</v>
      </c>
      <c r="D847" s="8">
        <v>0</v>
      </c>
      <c r="E847" s="8">
        <v>34123.430699999997</v>
      </c>
    </row>
    <row r="848" spans="1:5">
      <c r="A848" s="7" t="s">
        <v>345</v>
      </c>
      <c r="B848" s="7" t="s">
        <v>961</v>
      </c>
      <c r="C848" s="8">
        <v>0</v>
      </c>
      <c r="D848" s="8">
        <v>311.04020000000003</v>
      </c>
      <c r="E848" s="8">
        <v>53975.4709</v>
      </c>
    </row>
    <row r="849" spans="1:5">
      <c r="A849" s="7" t="s">
        <v>345</v>
      </c>
      <c r="B849" s="7" t="s">
        <v>962</v>
      </c>
      <c r="C849" s="8">
        <v>1215.2483</v>
      </c>
      <c r="D849" s="8">
        <v>0</v>
      </c>
      <c r="E849" s="8">
        <v>1096.2226000000001</v>
      </c>
    </row>
    <row r="850" spans="1:5">
      <c r="A850" s="7" t="s">
        <v>345</v>
      </c>
      <c r="B850" s="7" t="s">
        <v>963</v>
      </c>
      <c r="C850" s="8">
        <v>0</v>
      </c>
      <c r="D850" s="8">
        <v>4010.8573000000001</v>
      </c>
      <c r="E850" s="8">
        <v>25107.079900000001</v>
      </c>
    </row>
    <row r="851" spans="1:5">
      <c r="A851" s="7" t="s">
        <v>345</v>
      </c>
      <c r="B851" s="7" t="s">
        <v>964</v>
      </c>
      <c r="C851" s="8">
        <v>12215.365</v>
      </c>
      <c r="D851" s="8">
        <v>0</v>
      </c>
      <c r="E851" s="8">
        <v>65891.714900000006</v>
      </c>
    </row>
    <row r="852" spans="1:5">
      <c r="A852" s="7" t="s">
        <v>345</v>
      </c>
      <c r="B852" s="7" t="s">
        <v>965</v>
      </c>
      <c r="C852" s="8">
        <v>0</v>
      </c>
      <c r="D852" s="8">
        <v>6617.4737999999998</v>
      </c>
      <c r="E852" s="8">
        <v>59617.468699999998</v>
      </c>
    </row>
    <row r="853" spans="1:5">
      <c r="A853" s="7" t="s">
        <v>345</v>
      </c>
      <c r="B853" s="7" t="s">
        <v>966</v>
      </c>
      <c r="C853" s="8">
        <v>0</v>
      </c>
      <c r="D853" s="8">
        <v>5501.4058999999997</v>
      </c>
      <c r="E853" s="8">
        <v>51118.874600000003</v>
      </c>
    </row>
    <row r="854" spans="1:5">
      <c r="A854" s="7" t="s">
        <v>345</v>
      </c>
      <c r="B854" s="7" t="s">
        <v>967</v>
      </c>
      <c r="C854" s="8">
        <v>43761.424500000001</v>
      </c>
      <c r="D854" s="8">
        <v>0</v>
      </c>
      <c r="E854" s="8">
        <v>12357.4501</v>
      </c>
    </row>
    <row r="855" spans="1:5">
      <c r="A855" s="7" t="s">
        <v>345</v>
      </c>
      <c r="B855" s="7" t="s">
        <v>968</v>
      </c>
      <c r="C855" s="8">
        <v>541.23620000000005</v>
      </c>
      <c r="D855" s="8">
        <v>0</v>
      </c>
      <c r="E855" s="8">
        <v>11816.2138</v>
      </c>
    </row>
    <row r="856" spans="1:5">
      <c r="A856" s="7" t="s">
        <v>345</v>
      </c>
      <c r="B856" s="7" t="s">
        <v>969</v>
      </c>
      <c r="C856" s="8">
        <v>0</v>
      </c>
      <c r="D856" s="8">
        <v>2131.0781999999999</v>
      </c>
      <c r="E856" s="8">
        <v>13947.291999999999</v>
      </c>
    </row>
    <row r="857" spans="1:5">
      <c r="A857" s="7" t="s">
        <v>345</v>
      </c>
      <c r="B857" s="7" t="s">
        <v>970</v>
      </c>
      <c r="C857" s="8">
        <v>0</v>
      </c>
      <c r="D857" s="8">
        <v>2673.3026</v>
      </c>
      <c r="E857" s="8">
        <v>14820.5946</v>
      </c>
    </row>
    <row r="858" spans="1:5">
      <c r="A858" s="7" t="s">
        <v>345</v>
      </c>
      <c r="B858" s="7" t="s">
        <v>971</v>
      </c>
      <c r="C858" s="8">
        <v>0</v>
      </c>
      <c r="D858" s="8">
        <v>10430.712600000001</v>
      </c>
      <c r="E858" s="8">
        <v>31104.307199999999</v>
      </c>
    </row>
    <row r="859" spans="1:5">
      <c r="A859" s="7" t="s">
        <v>345</v>
      </c>
      <c r="B859" s="7" t="s">
        <v>972</v>
      </c>
      <c r="C859" s="8">
        <v>27450.488799999999</v>
      </c>
      <c r="D859" s="8">
        <v>0</v>
      </c>
      <c r="E859" s="8">
        <v>5980.8182999999999</v>
      </c>
    </row>
    <row r="860" spans="1:5">
      <c r="A860" s="7" t="s">
        <v>345</v>
      </c>
      <c r="B860" s="7" t="s">
        <v>973</v>
      </c>
      <c r="C860" s="8">
        <v>19346.090499999998</v>
      </c>
      <c r="D860" s="8">
        <v>0</v>
      </c>
      <c r="E860" s="8">
        <v>9964.7278000000006</v>
      </c>
    </row>
    <row r="861" spans="1:5">
      <c r="A861" s="7" t="s">
        <v>345</v>
      </c>
      <c r="B861" s="7" t="s">
        <v>974</v>
      </c>
      <c r="C861" s="8">
        <v>8170.2884000000004</v>
      </c>
      <c r="D861" s="8">
        <v>0</v>
      </c>
      <c r="E861" s="8">
        <v>1794.4394</v>
      </c>
    </row>
    <row r="862" spans="1:5">
      <c r="A862" s="7" t="s">
        <v>345</v>
      </c>
      <c r="B862" s="7" t="s">
        <v>975</v>
      </c>
      <c r="C862" s="8">
        <v>0</v>
      </c>
      <c r="D862" s="8">
        <v>202.49520000000001</v>
      </c>
      <c r="E862" s="8">
        <v>1996.9346</v>
      </c>
    </row>
    <row r="863" spans="1:5">
      <c r="A863" s="7" t="s">
        <v>345</v>
      </c>
      <c r="B863" s="7" t="s">
        <v>976</v>
      </c>
      <c r="C863" s="8">
        <v>0</v>
      </c>
      <c r="D863" s="8">
        <v>21531.787100000001</v>
      </c>
      <c r="E863" s="8">
        <v>129528.7216</v>
      </c>
    </row>
    <row r="864" spans="1:5">
      <c r="A864" s="7" t="s">
        <v>345</v>
      </c>
      <c r="B864" s="7" t="s">
        <v>977</v>
      </c>
      <c r="C864" s="8">
        <v>0</v>
      </c>
      <c r="D864" s="8">
        <v>17199.845399999998</v>
      </c>
      <c r="E864" s="8">
        <v>144732.56709999999</v>
      </c>
    </row>
    <row r="865" spans="1:5">
      <c r="A865" s="7" t="s">
        <v>345</v>
      </c>
      <c r="B865" s="7" t="s">
        <v>978</v>
      </c>
      <c r="C865" s="8">
        <v>0</v>
      </c>
      <c r="D865" s="8">
        <v>69689.229200000002</v>
      </c>
      <c r="E865" s="8">
        <v>204421.79620000001</v>
      </c>
    </row>
    <row r="866" spans="1:5">
      <c r="A866" s="9" t="s">
        <v>979</v>
      </c>
      <c r="B866" s="9" t="s">
        <v>980</v>
      </c>
      <c r="C866" s="10">
        <v>88.5</v>
      </c>
      <c r="D866" s="8">
        <v>0</v>
      </c>
      <c r="E866" s="8">
        <v>99601.296199999997</v>
      </c>
    </row>
    <row r="867" spans="1:5">
      <c r="A867" s="7" t="s">
        <v>345</v>
      </c>
      <c r="B867" s="7" t="s">
        <v>981</v>
      </c>
      <c r="C867" s="8">
        <v>0</v>
      </c>
      <c r="D867" s="8">
        <v>31738.598099999999</v>
      </c>
      <c r="E867" s="8">
        <v>174339.89430000001</v>
      </c>
    </row>
    <row r="868" spans="1:5">
      <c r="A868" s="7" t="s">
        <v>345</v>
      </c>
      <c r="B868" s="7" t="s">
        <v>982</v>
      </c>
      <c r="C868" s="8">
        <v>111163.5895</v>
      </c>
      <c r="D868" s="8">
        <v>0</v>
      </c>
      <c r="E868" s="8">
        <v>33264.304799999998</v>
      </c>
    </row>
    <row r="869" spans="1:5">
      <c r="A869" s="7" t="s">
        <v>345</v>
      </c>
      <c r="B869" s="7" t="s">
        <v>983</v>
      </c>
      <c r="C869" s="8">
        <v>667.49760000000003</v>
      </c>
      <c r="D869" s="8">
        <v>0</v>
      </c>
      <c r="E869" s="8">
        <v>7596.8072000000002</v>
      </c>
    </row>
    <row r="870" spans="1:5">
      <c r="A870" s="7" t="s">
        <v>345</v>
      </c>
      <c r="B870" s="7" t="s">
        <v>984</v>
      </c>
      <c r="C870" s="8">
        <v>0</v>
      </c>
      <c r="D870" s="8">
        <v>290.3997</v>
      </c>
      <c r="E870" s="8">
        <v>887.20699999999999</v>
      </c>
    </row>
    <row r="871" spans="1:5">
      <c r="A871" s="7" t="s">
        <v>345</v>
      </c>
      <c r="B871" s="7" t="s">
        <v>985</v>
      </c>
      <c r="C871" s="8">
        <v>7915.5502999999999</v>
      </c>
      <c r="D871" s="8">
        <v>0</v>
      </c>
      <c r="E871" s="8">
        <v>-28.343299999999999</v>
      </c>
    </row>
    <row r="872" spans="1:5">
      <c r="A872" s="7" t="s">
        <v>345</v>
      </c>
      <c r="B872" s="7" t="s">
        <v>986</v>
      </c>
      <c r="C872" s="8">
        <v>8139.2509</v>
      </c>
      <c r="D872" s="8">
        <v>0</v>
      </c>
      <c r="E872" s="8">
        <v>1832.4057</v>
      </c>
    </row>
    <row r="873" spans="1:5">
      <c r="A873" s="7" t="s">
        <v>345</v>
      </c>
      <c r="B873" s="7" t="s">
        <v>987</v>
      </c>
      <c r="C873" s="8">
        <v>2615.8708999999999</v>
      </c>
      <c r="D873" s="8">
        <v>0</v>
      </c>
      <c r="E873" s="8">
        <v>-783.46519999999998</v>
      </c>
    </row>
    <row r="874" spans="1:5">
      <c r="A874" s="7" t="s">
        <v>345</v>
      </c>
      <c r="B874" s="7" t="s">
        <v>988</v>
      </c>
      <c r="C874" s="8">
        <v>0</v>
      </c>
      <c r="D874" s="8">
        <v>14592.7045</v>
      </c>
      <c r="E874" s="8">
        <v>96809.239300000001</v>
      </c>
    </row>
    <row r="875" spans="1:5">
      <c r="A875" s="7" t="s">
        <v>345</v>
      </c>
      <c r="B875" s="7" t="s">
        <v>989</v>
      </c>
      <c r="C875" s="8">
        <v>0</v>
      </c>
      <c r="D875" s="8">
        <v>59911.705300000001</v>
      </c>
      <c r="E875" s="8">
        <v>230720.94459999999</v>
      </c>
    </row>
    <row r="876" spans="1:5">
      <c r="A876" s="7" t="s">
        <v>345</v>
      </c>
      <c r="B876" s="7" t="s">
        <v>990</v>
      </c>
      <c r="C876" s="8">
        <v>0</v>
      </c>
      <c r="D876" s="8">
        <v>39513.994700000003</v>
      </c>
      <c r="E876" s="8">
        <v>240234.9393</v>
      </c>
    </row>
    <row r="877" spans="1:5">
      <c r="A877" s="7" t="s">
        <v>345</v>
      </c>
      <c r="B877" s="7" t="s">
        <v>991</v>
      </c>
      <c r="C877" s="8">
        <v>0</v>
      </c>
      <c r="D877" s="8">
        <v>154305.00539999999</v>
      </c>
      <c r="E877" s="8">
        <v>454539.94459999999</v>
      </c>
    </row>
    <row r="878" spans="1:5">
      <c r="A878" s="7" t="s">
        <v>345</v>
      </c>
      <c r="B878" s="7" t="s">
        <v>992</v>
      </c>
      <c r="C878" s="8">
        <v>0</v>
      </c>
      <c r="D878" s="8">
        <v>290925.99290000001</v>
      </c>
      <c r="E878" s="8">
        <v>645465.9375</v>
      </c>
    </row>
    <row r="879" spans="1:5">
      <c r="A879" s="7" t="s">
        <v>345</v>
      </c>
      <c r="B879" s="7" t="s">
        <v>993</v>
      </c>
      <c r="C879" s="8">
        <v>0</v>
      </c>
      <c r="D879" s="8">
        <v>173601.6833</v>
      </c>
      <c r="E879" s="8">
        <v>619067.62080000003</v>
      </c>
    </row>
    <row r="880" spans="1:5">
      <c r="A880" s="7" t="s">
        <v>345</v>
      </c>
      <c r="B880" s="7" t="s">
        <v>994</v>
      </c>
      <c r="C880" s="8">
        <v>278830.04670000001</v>
      </c>
      <c r="D880" s="8">
        <v>0</v>
      </c>
      <c r="E880" s="8">
        <v>290237.57410000003</v>
      </c>
    </row>
    <row r="881" spans="1:5">
      <c r="A881" s="7" t="s">
        <v>345</v>
      </c>
      <c r="B881" s="7" t="s">
        <v>995</v>
      </c>
      <c r="C881" s="8">
        <v>0</v>
      </c>
      <c r="D881" s="8">
        <v>18038.2585</v>
      </c>
      <c r="E881" s="8">
        <v>396275.83260000002</v>
      </c>
    </row>
    <row r="882" spans="1:5">
      <c r="A882" s="7" t="s">
        <v>345</v>
      </c>
      <c r="B882" s="7" t="s">
        <v>996</v>
      </c>
      <c r="C882" s="8">
        <v>132033.5729</v>
      </c>
      <c r="D882" s="8">
        <v>0</v>
      </c>
      <c r="E882" s="8">
        <v>264242.25959999999</v>
      </c>
    </row>
    <row r="883" spans="1:5">
      <c r="A883" s="7" t="s">
        <v>345</v>
      </c>
      <c r="B883" s="7" t="s">
        <v>997</v>
      </c>
      <c r="C883" s="8">
        <v>0</v>
      </c>
      <c r="D883" s="8">
        <v>26228.3868</v>
      </c>
      <c r="E883" s="8">
        <v>290470.64640000003</v>
      </c>
    </row>
    <row r="884" spans="1:5">
      <c r="A884" s="7" t="s">
        <v>345</v>
      </c>
      <c r="B884" s="7" t="s">
        <v>998</v>
      </c>
      <c r="C884" s="8">
        <v>0</v>
      </c>
      <c r="D884" s="8">
        <v>63021.783499999998</v>
      </c>
      <c r="E884" s="8">
        <v>253492.43</v>
      </c>
    </row>
    <row r="885" spans="1:5">
      <c r="A885" s="7" t="s">
        <v>345</v>
      </c>
      <c r="B885" s="7" t="s">
        <v>999</v>
      </c>
      <c r="C885" s="8">
        <v>0</v>
      </c>
      <c r="D885" s="8">
        <v>17905.193200000002</v>
      </c>
      <c r="E885" s="8">
        <v>361397.62310000003</v>
      </c>
    </row>
    <row r="886" spans="1:5">
      <c r="A886" s="7" t="s">
        <v>345</v>
      </c>
      <c r="B886" s="7" t="s">
        <v>1000</v>
      </c>
      <c r="C886" s="8">
        <v>0</v>
      </c>
      <c r="D886" s="8">
        <v>24069.6463</v>
      </c>
      <c r="E886" s="8">
        <v>385467.26939999999</v>
      </c>
    </row>
    <row r="887" spans="1:5">
      <c r="A887" s="7" t="s">
        <v>345</v>
      </c>
      <c r="B887" s="7" t="s">
        <v>1001</v>
      </c>
      <c r="C887" s="8">
        <v>0</v>
      </c>
      <c r="D887" s="8">
        <v>62505.900199999996</v>
      </c>
      <c r="E887" s="8">
        <v>347973.16960000002</v>
      </c>
    </row>
    <row r="888" spans="1:5">
      <c r="A888" s="7" t="s">
        <v>345</v>
      </c>
      <c r="B888" s="7" t="s">
        <v>1002</v>
      </c>
      <c r="C888" s="8">
        <v>0</v>
      </c>
      <c r="D888" s="8">
        <v>25130.019</v>
      </c>
      <c r="E888" s="8">
        <v>423103.1887</v>
      </c>
    </row>
    <row r="889" spans="1:5">
      <c r="A889" s="7" t="s">
        <v>345</v>
      </c>
      <c r="B889" s="7" t="s">
        <v>1003</v>
      </c>
      <c r="C889" s="8">
        <v>0</v>
      </c>
      <c r="D889" s="8">
        <v>29143.389899999998</v>
      </c>
      <c r="E889" s="8">
        <v>352246.57860000001</v>
      </c>
    </row>
    <row r="890" spans="1:5">
      <c r="A890" s="7" t="s">
        <v>345</v>
      </c>
      <c r="B890" s="7" t="s">
        <v>1004</v>
      </c>
      <c r="C890" s="8">
        <v>176158.8266</v>
      </c>
      <c r="D890" s="8">
        <v>0</v>
      </c>
      <c r="E890" s="8">
        <v>226087.7519</v>
      </c>
    </row>
    <row r="891" spans="1:5">
      <c r="A891" s="7" t="s">
        <v>345</v>
      </c>
      <c r="B891" s="7" t="s">
        <v>1005</v>
      </c>
      <c r="C891" s="8">
        <v>93769.706399999995</v>
      </c>
      <c r="D891" s="8">
        <v>0</v>
      </c>
      <c r="E891" s="8">
        <v>162318.04550000001</v>
      </c>
    </row>
    <row r="892" spans="1:5">
      <c r="A892" s="7" t="s">
        <v>1006</v>
      </c>
      <c r="B892" s="7" t="s">
        <v>1007</v>
      </c>
      <c r="C892" s="8">
        <v>1.22</v>
      </c>
      <c r="D892" s="8">
        <v>0</v>
      </c>
      <c r="E892" s="8">
        <v>62316.825499999999</v>
      </c>
    </row>
    <row r="893" spans="1:5">
      <c r="A893" s="7" t="s">
        <v>345</v>
      </c>
      <c r="B893" s="7" t="s">
        <v>1007</v>
      </c>
      <c r="C893" s="8">
        <v>0</v>
      </c>
      <c r="D893" s="8">
        <v>30895.553400000001</v>
      </c>
      <c r="E893" s="8">
        <v>179212.37890000001</v>
      </c>
    </row>
    <row r="894" spans="1:5">
      <c r="A894" s="7" t="s">
        <v>345</v>
      </c>
      <c r="B894" s="7" t="s">
        <v>1008</v>
      </c>
      <c r="C894" s="8">
        <v>0</v>
      </c>
      <c r="D894" s="8">
        <v>95193.024099999995</v>
      </c>
      <c r="E894" s="8">
        <v>258088.58300000001</v>
      </c>
    </row>
    <row r="895" spans="1:5">
      <c r="A895" s="7" t="s">
        <v>345</v>
      </c>
      <c r="B895" s="7" t="s">
        <v>1009</v>
      </c>
      <c r="C895" s="8">
        <v>0</v>
      </c>
      <c r="D895" s="8">
        <v>101722.3432</v>
      </c>
      <c r="E895" s="8">
        <v>349810.92619999999</v>
      </c>
    </row>
    <row r="896" spans="1:5">
      <c r="A896" s="7" t="s">
        <v>345</v>
      </c>
      <c r="B896" s="7" t="s">
        <v>1010</v>
      </c>
      <c r="C896" s="8">
        <v>214482.7573</v>
      </c>
      <c r="D896" s="8">
        <v>0</v>
      </c>
      <c r="E896" s="8">
        <v>105328.1689</v>
      </c>
    </row>
    <row r="897" spans="1:5">
      <c r="A897" s="7" t="s">
        <v>345</v>
      </c>
      <c r="B897" s="7" t="s">
        <v>1011</v>
      </c>
      <c r="C897" s="8">
        <v>81918.846000000005</v>
      </c>
      <c r="D897" s="8">
        <v>0</v>
      </c>
      <c r="E897" s="8">
        <v>157635.3229</v>
      </c>
    </row>
    <row r="898" spans="1:5">
      <c r="A898" s="7" t="s">
        <v>345</v>
      </c>
      <c r="B898" s="7" t="s">
        <v>1012</v>
      </c>
      <c r="C898" s="8">
        <v>0</v>
      </c>
      <c r="D898" s="8">
        <v>12791.511399999999</v>
      </c>
      <c r="E898" s="8">
        <v>147017.51430000001</v>
      </c>
    </row>
    <row r="899" spans="1:5">
      <c r="A899" s="7" t="s">
        <v>345</v>
      </c>
      <c r="B899" s="7" t="s">
        <v>1013</v>
      </c>
      <c r="C899" s="8">
        <v>65359.303599999999</v>
      </c>
      <c r="D899" s="8">
        <v>0</v>
      </c>
      <c r="E899" s="8">
        <v>50658.210700000003</v>
      </c>
    </row>
    <row r="900" spans="1:5">
      <c r="A900" s="7" t="s">
        <v>345</v>
      </c>
      <c r="B900" s="7" t="s">
        <v>1014</v>
      </c>
      <c r="C900" s="8">
        <v>57469.733</v>
      </c>
      <c r="D900" s="8">
        <v>0</v>
      </c>
      <c r="E900" s="8">
        <v>-6811.5223999999998</v>
      </c>
    </row>
    <row r="901" spans="1:5">
      <c r="A901" s="7" t="s">
        <v>345</v>
      </c>
      <c r="B901" s="7" t="s">
        <v>1015</v>
      </c>
      <c r="C901" s="8">
        <v>0</v>
      </c>
      <c r="D901" s="8">
        <v>1675.7338</v>
      </c>
      <c r="E901" s="8">
        <v>27864.211500000001</v>
      </c>
    </row>
    <row r="902" spans="1:5">
      <c r="A902" s="7" t="s">
        <v>345</v>
      </c>
      <c r="B902" s="7" t="s">
        <v>1016</v>
      </c>
      <c r="C902" s="8">
        <v>21070.702799999999</v>
      </c>
      <c r="D902" s="8">
        <v>0</v>
      </c>
      <c r="E902" s="8">
        <v>6793.5087000000003</v>
      </c>
    </row>
    <row r="903" spans="1:5">
      <c r="A903" s="7" t="s">
        <v>345</v>
      </c>
      <c r="B903" s="7" t="s">
        <v>1017</v>
      </c>
      <c r="C903" s="8">
        <v>4634.9209000000001</v>
      </c>
      <c r="D903" s="8">
        <v>0</v>
      </c>
      <c r="E903" s="8">
        <v>2158.5877999999998</v>
      </c>
    </row>
    <row r="904" spans="1:5">
      <c r="A904" s="7" t="s">
        <v>345</v>
      </c>
      <c r="B904" s="7" t="s">
        <v>1018</v>
      </c>
      <c r="C904" s="8">
        <v>27833.351600000002</v>
      </c>
      <c r="D904" s="8">
        <v>0</v>
      </c>
      <c r="E904" s="8">
        <v>26325.236199999999</v>
      </c>
    </row>
    <row r="905" spans="1:5">
      <c r="A905" s="7" t="s">
        <v>345</v>
      </c>
      <c r="B905" s="7" t="s">
        <v>1019</v>
      </c>
      <c r="C905" s="8">
        <v>0</v>
      </c>
      <c r="D905" s="8">
        <v>7591.2950000000001</v>
      </c>
      <c r="E905" s="8">
        <v>33916.5311</v>
      </c>
    </row>
    <row r="906" spans="1:5">
      <c r="A906" s="7" t="s">
        <v>345</v>
      </c>
      <c r="B906" s="7" t="s">
        <v>1020</v>
      </c>
      <c r="C906" s="8">
        <v>10532.626099999999</v>
      </c>
      <c r="D906" s="8">
        <v>0</v>
      </c>
      <c r="E906" s="8">
        <v>63383.904999999999</v>
      </c>
    </row>
    <row r="907" spans="1:5">
      <c r="A907" s="7" t="s">
        <v>345</v>
      </c>
      <c r="B907" s="7" t="s">
        <v>1021</v>
      </c>
      <c r="C907" s="8">
        <v>0</v>
      </c>
      <c r="D907" s="8">
        <v>31452.422299999998</v>
      </c>
      <c r="E907" s="8">
        <v>164836.3273</v>
      </c>
    </row>
    <row r="908" spans="1:5">
      <c r="A908" s="7" t="s">
        <v>345</v>
      </c>
      <c r="B908" s="7" t="s">
        <v>1022</v>
      </c>
      <c r="C908" s="8">
        <v>0</v>
      </c>
      <c r="D908" s="8">
        <v>68289.647700000001</v>
      </c>
      <c r="E908" s="8">
        <v>170125.97500000001</v>
      </c>
    </row>
    <row r="909" spans="1:5">
      <c r="A909" s="7" t="s">
        <v>345</v>
      </c>
      <c r="B909" s="7" t="s">
        <v>1023</v>
      </c>
      <c r="C909" s="8">
        <v>105589.52830000001</v>
      </c>
      <c r="D909" s="8">
        <v>0</v>
      </c>
      <c r="E909" s="8">
        <v>76536.4467</v>
      </c>
    </row>
    <row r="910" spans="1:5">
      <c r="A910" s="7" t="s">
        <v>345</v>
      </c>
      <c r="B910" s="7" t="s">
        <v>1024</v>
      </c>
      <c r="C910" s="8">
        <v>9071.5331000000006</v>
      </c>
      <c r="D910" s="8">
        <v>0</v>
      </c>
      <c r="E910" s="8">
        <v>79931.913499999995</v>
      </c>
    </row>
    <row r="911" spans="1:5">
      <c r="A911" s="7" t="s">
        <v>345</v>
      </c>
      <c r="B911" s="7" t="s">
        <v>1025</v>
      </c>
      <c r="C911" s="8">
        <v>50134.920599999998</v>
      </c>
      <c r="D911" s="8">
        <v>0</v>
      </c>
      <c r="E911" s="8">
        <v>3260.9929999999999</v>
      </c>
    </row>
    <row r="912" spans="1:5">
      <c r="A912" s="7" t="s">
        <v>345</v>
      </c>
      <c r="B912" s="7" t="s">
        <v>1026</v>
      </c>
      <c r="C912" s="8">
        <v>0</v>
      </c>
      <c r="D912" s="8">
        <v>36782.396399999998</v>
      </c>
      <c r="E912" s="8">
        <v>418043.38939999999</v>
      </c>
    </row>
    <row r="913" spans="1:5">
      <c r="A913" s="7" t="s">
        <v>345</v>
      </c>
      <c r="B913" s="7" t="s">
        <v>1027</v>
      </c>
      <c r="C913" s="8">
        <v>198470.72219999999</v>
      </c>
      <c r="D913" s="8">
        <v>0</v>
      </c>
      <c r="E913" s="8">
        <v>201572.6672</v>
      </c>
    </row>
    <row r="914" spans="1:5">
      <c r="A914" s="7" t="s">
        <v>1029</v>
      </c>
      <c r="B914" s="7" t="s">
        <v>1028</v>
      </c>
      <c r="C914" s="8">
        <v>6.81</v>
      </c>
      <c r="D914" s="8">
        <v>0</v>
      </c>
      <c r="E914" s="8">
        <v>151565.8572</v>
      </c>
    </row>
    <row r="915" spans="1:5">
      <c r="A915" s="7" t="s">
        <v>345</v>
      </c>
      <c r="B915" s="7" t="s">
        <v>1028</v>
      </c>
      <c r="C915" s="8">
        <v>28602.497800000001</v>
      </c>
      <c r="D915" s="8">
        <v>0</v>
      </c>
      <c r="E915" s="8">
        <v>163963.35939999999</v>
      </c>
    </row>
    <row r="916" spans="1:5">
      <c r="A916" s="7" t="s">
        <v>345</v>
      </c>
      <c r="B916" s="7" t="s">
        <v>1030</v>
      </c>
      <c r="C916" s="8">
        <v>0</v>
      </c>
      <c r="D916" s="8">
        <v>45121.119100000004</v>
      </c>
      <c r="E916" s="8">
        <v>199084.47839999999</v>
      </c>
    </row>
    <row r="917" spans="1:5">
      <c r="A917" s="7" t="s">
        <v>345</v>
      </c>
      <c r="B917" s="7" t="s">
        <v>1031</v>
      </c>
      <c r="C917" s="8">
        <v>65865.733999999997</v>
      </c>
      <c r="D917" s="8">
        <v>0</v>
      </c>
      <c r="E917" s="8">
        <v>39318.744400000003</v>
      </c>
    </row>
    <row r="918" spans="1:5">
      <c r="A918" s="7" t="s">
        <v>345</v>
      </c>
      <c r="B918" s="7" t="s">
        <v>1032</v>
      </c>
      <c r="C918" s="8">
        <v>5491.3590999999997</v>
      </c>
      <c r="D918" s="8">
        <v>0</v>
      </c>
      <c r="E918" s="8">
        <v>32697.385300000002</v>
      </c>
    </row>
    <row r="919" spans="1:5">
      <c r="A919" s="7" t="s">
        <v>345</v>
      </c>
      <c r="B919" s="7" t="s">
        <v>1033</v>
      </c>
      <c r="C919" s="8">
        <v>61212.0383</v>
      </c>
      <c r="D919" s="8">
        <v>0</v>
      </c>
      <c r="E919" s="8">
        <v>9167.3469999999998</v>
      </c>
    </row>
    <row r="920" spans="1:5">
      <c r="A920" s="7" t="s">
        <v>345</v>
      </c>
      <c r="B920" s="7" t="s">
        <v>1034</v>
      </c>
      <c r="C920" s="8">
        <v>0</v>
      </c>
      <c r="D920" s="8">
        <v>28779.438600000001</v>
      </c>
      <c r="E920" s="8">
        <v>92946.785600000003</v>
      </c>
    </row>
    <row r="921" spans="1:5">
      <c r="A921" s="7" t="s">
        <v>345</v>
      </c>
      <c r="B921" s="7" t="s">
        <v>1035</v>
      </c>
      <c r="C921" s="8">
        <v>0</v>
      </c>
      <c r="D921" s="8">
        <v>28533.5075</v>
      </c>
      <c r="E921" s="8">
        <v>99480.2932</v>
      </c>
    </row>
    <row r="922" spans="1:5">
      <c r="A922" s="7" t="s">
        <v>345</v>
      </c>
      <c r="B922" s="7" t="s">
        <v>1036</v>
      </c>
      <c r="C922" s="8">
        <v>47344.465900000003</v>
      </c>
      <c r="D922" s="8">
        <v>0</v>
      </c>
      <c r="E922" s="8">
        <v>17135.827300000001</v>
      </c>
    </row>
    <row r="923" spans="1:5">
      <c r="A923" s="7" t="s">
        <v>345</v>
      </c>
      <c r="B923" s="7" t="s">
        <v>1037</v>
      </c>
      <c r="C923" s="8">
        <v>0</v>
      </c>
      <c r="D923" s="8">
        <v>6162.5276999999996</v>
      </c>
      <c r="E923" s="8">
        <v>23298.355100000001</v>
      </c>
    </row>
    <row r="924" spans="1:5">
      <c r="A924" s="7" t="s">
        <v>345</v>
      </c>
      <c r="B924" s="7" t="s">
        <v>1038</v>
      </c>
      <c r="C924" s="8">
        <v>4799.0937999999996</v>
      </c>
      <c r="D924" s="8">
        <v>0</v>
      </c>
      <c r="E924" s="8">
        <v>-500.73869999999999</v>
      </c>
    </row>
    <row r="925" spans="1:5">
      <c r="A925" s="7" t="s">
        <v>345</v>
      </c>
      <c r="B925" s="7" t="s">
        <v>1039</v>
      </c>
      <c r="C925" s="8">
        <v>0</v>
      </c>
      <c r="D925" s="8">
        <v>1177.0016000000001</v>
      </c>
      <c r="E925" s="8">
        <v>3176.2629000000002</v>
      </c>
    </row>
    <row r="926" spans="1:5">
      <c r="A926" s="7" t="s">
        <v>345</v>
      </c>
      <c r="B926" s="7" t="s">
        <v>1040</v>
      </c>
      <c r="C926" s="8">
        <v>0</v>
      </c>
      <c r="D926" s="8">
        <v>17176.723600000001</v>
      </c>
      <c r="E926" s="8">
        <v>55352.986400000002</v>
      </c>
    </row>
    <row r="927" spans="1:5">
      <c r="A927" s="7" t="s">
        <v>345</v>
      </c>
      <c r="B927" s="7" t="s">
        <v>1041</v>
      </c>
      <c r="C927" s="8">
        <v>6658.7550000000001</v>
      </c>
      <c r="D927" s="8">
        <v>0</v>
      </c>
      <c r="E927" s="8">
        <v>39710.231399999997</v>
      </c>
    </row>
    <row r="928" spans="1:5">
      <c r="A928" s="7" t="s">
        <v>345</v>
      </c>
      <c r="B928" s="7" t="s">
        <v>1042</v>
      </c>
      <c r="C928" s="8">
        <v>14349.824000000001</v>
      </c>
      <c r="D928" s="8">
        <v>0</v>
      </c>
      <c r="E928" s="8">
        <v>10360.4074</v>
      </c>
    </row>
    <row r="929" spans="1:5">
      <c r="A929" s="7" t="s">
        <v>345</v>
      </c>
      <c r="B929" s="7" t="s">
        <v>1043</v>
      </c>
      <c r="C929" s="8">
        <v>12232.7034</v>
      </c>
      <c r="D929" s="8">
        <v>0</v>
      </c>
      <c r="E929" s="8">
        <v>2767.7040000000002</v>
      </c>
    </row>
    <row r="930" spans="1:5">
      <c r="A930" s="7" t="s">
        <v>345</v>
      </c>
      <c r="B930" s="7" t="s">
        <v>1044</v>
      </c>
      <c r="C930" s="8">
        <v>2075.5587</v>
      </c>
      <c r="D930" s="8">
        <v>0</v>
      </c>
      <c r="E930" s="8">
        <v>692.14530000000002</v>
      </c>
    </row>
    <row r="931" spans="1:5">
      <c r="A931" s="7" t="s">
        <v>345</v>
      </c>
      <c r="B931" s="7" t="s">
        <v>1045</v>
      </c>
      <c r="C931" s="8">
        <v>2090.2534000000001</v>
      </c>
      <c r="D931" s="8">
        <v>0</v>
      </c>
      <c r="E931" s="8">
        <v>2909.8919000000001</v>
      </c>
    </row>
    <row r="932" spans="1:5">
      <c r="A932" s="7" t="s">
        <v>345</v>
      </c>
      <c r="B932" s="7" t="s">
        <v>1046</v>
      </c>
      <c r="C932" s="8">
        <v>31.872</v>
      </c>
      <c r="D932" s="8">
        <v>0</v>
      </c>
      <c r="E932" s="8">
        <v>2878.0198</v>
      </c>
    </row>
    <row r="933" spans="1:5">
      <c r="A933" s="7" t="s">
        <v>345</v>
      </c>
      <c r="B933" s="7" t="s">
        <v>1047</v>
      </c>
      <c r="C933" s="8">
        <v>4198.7952999999998</v>
      </c>
      <c r="D933" s="8">
        <v>0</v>
      </c>
      <c r="E933" s="8">
        <v>88679.224600000001</v>
      </c>
    </row>
    <row r="934" spans="1:5">
      <c r="A934" s="7" t="s">
        <v>345</v>
      </c>
      <c r="B934" s="7" t="s">
        <v>1048</v>
      </c>
      <c r="C934" s="8">
        <v>9707.0038000000004</v>
      </c>
      <c r="D934" s="8">
        <v>0</v>
      </c>
      <c r="E934" s="8">
        <v>4734.2208000000001</v>
      </c>
    </row>
    <row r="935" spans="1:5">
      <c r="A935" s="7" t="s">
        <v>345</v>
      </c>
      <c r="B935" s="7" t="s">
        <v>1049</v>
      </c>
      <c r="C935" s="8">
        <v>0</v>
      </c>
      <c r="D935" s="8">
        <v>3275.5614</v>
      </c>
      <c r="E935" s="8">
        <v>6275.7821999999996</v>
      </c>
    </row>
    <row r="936" spans="1:5">
      <c r="A936" s="7" t="s">
        <v>345</v>
      </c>
      <c r="B936" s="7" t="s">
        <v>1050</v>
      </c>
      <c r="C936" s="8">
        <v>5658.4790999999996</v>
      </c>
      <c r="D936" s="8">
        <v>0</v>
      </c>
      <c r="E936" s="8">
        <v>2617.3031000000001</v>
      </c>
    </row>
    <row r="937" spans="1:5">
      <c r="A937" s="7" t="s">
        <v>345</v>
      </c>
      <c r="B937" s="7" t="s">
        <v>1051</v>
      </c>
      <c r="C937" s="8">
        <v>1880.7260000000001</v>
      </c>
      <c r="D937" s="8">
        <v>0</v>
      </c>
      <c r="E937" s="8">
        <v>18119.577099999999</v>
      </c>
    </row>
    <row r="938" spans="1:5">
      <c r="A938" s="7" t="s">
        <v>345</v>
      </c>
      <c r="B938" s="7" t="s">
        <v>1052</v>
      </c>
      <c r="C938" s="8">
        <v>0</v>
      </c>
      <c r="D938" s="8">
        <v>6952.4202999999998</v>
      </c>
      <c r="E938" s="8">
        <v>25071.9974</v>
      </c>
    </row>
    <row r="939" spans="1:5">
      <c r="A939" s="7" t="s">
        <v>345</v>
      </c>
      <c r="B939" s="7" t="s">
        <v>1053</v>
      </c>
      <c r="C939" s="8">
        <v>0</v>
      </c>
      <c r="D939" s="8">
        <v>55277.835599999999</v>
      </c>
      <c r="E939" s="8">
        <v>176278.83300000001</v>
      </c>
    </row>
    <row r="940" spans="1:5">
      <c r="A940" s="7" t="s">
        <v>345</v>
      </c>
      <c r="B940" s="7" t="s">
        <v>1054</v>
      </c>
      <c r="C940" s="8">
        <v>28634.0347</v>
      </c>
      <c r="D940" s="8">
        <v>0</v>
      </c>
      <c r="E940" s="8">
        <v>77644.798299999995</v>
      </c>
    </row>
    <row r="941" spans="1:5">
      <c r="A941" s="7" t="s">
        <v>345</v>
      </c>
      <c r="B941" s="7" t="s">
        <v>1055</v>
      </c>
      <c r="C941" s="8">
        <v>45038.424800000001</v>
      </c>
      <c r="D941" s="8">
        <v>0</v>
      </c>
      <c r="E941" s="8">
        <v>4961.5735000000004</v>
      </c>
    </row>
    <row r="942" spans="1:5">
      <c r="A942" s="7" t="s">
        <v>1056</v>
      </c>
      <c r="B942" s="7" t="s">
        <v>1057</v>
      </c>
      <c r="C942" s="8">
        <v>29.5</v>
      </c>
      <c r="D942" s="8">
        <v>0</v>
      </c>
      <c r="E942" s="8">
        <v>-28.926500000000001</v>
      </c>
    </row>
    <row r="943" spans="1:5">
      <c r="A943" s="7" t="s">
        <v>345</v>
      </c>
      <c r="B943" s="7" t="s">
        <v>1058</v>
      </c>
      <c r="C943" s="8">
        <v>16718.909899999999</v>
      </c>
      <c r="D943" s="8">
        <v>0</v>
      </c>
      <c r="E943" s="8">
        <v>103252.1636</v>
      </c>
    </row>
    <row r="944" spans="1:5">
      <c r="A944" s="7" t="s">
        <v>345</v>
      </c>
      <c r="B944" s="7" t="s">
        <v>1059</v>
      </c>
      <c r="C944" s="8">
        <v>0</v>
      </c>
      <c r="D944" s="8">
        <v>917.69479999999999</v>
      </c>
      <c r="E944" s="8">
        <v>95917.858399999997</v>
      </c>
    </row>
    <row r="945" spans="1:5">
      <c r="A945" s="7" t="s">
        <v>345</v>
      </c>
      <c r="B945" s="7" t="s">
        <v>1060</v>
      </c>
      <c r="C945" s="8">
        <v>13441.373600000001</v>
      </c>
      <c r="D945" s="8">
        <v>0</v>
      </c>
      <c r="E945" s="8">
        <v>36559.484799999998</v>
      </c>
    </row>
    <row r="946" spans="1:5">
      <c r="A946" s="7" t="s">
        <v>345</v>
      </c>
      <c r="B946" s="7" t="s">
        <v>1061</v>
      </c>
      <c r="C946" s="8">
        <v>0</v>
      </c>
      <c r="D946" s="8">
        <v>7291.1496999999999</v>
      </c>
      <c r="E946" s="8">
        <v>43850.634400000003</v>
      </c>
    </row>
    <row r="947" spans="1:5">
      <c r="A947" s="7" t="s">
        <v>345</v>
      </c>
      <c r="B947" s="7" t="s">
        <v>1062</v>
      </c>
      <c r="C947" s="8">
        <v>0</v>
      </c>
      <c r="D947" s="8">
        <v>25836.725999999999</v>
      </c>
      <c r="E947" s="8">
        <v>69687.360499999995</v>
      </c>
    </row>
    <row r="948" spans="1:5">
      <c r="A948" s="7" t="s">
        <v>345</v>
      </c>
      <c r="B948" s="7" t="s">
        <v>1063</v>
      </c>
      <c r="C948" s="8">
        <v>34631.098700000002</v>
      </c>
      <c r="D948" s="8">
        <v>0</v>
      </c>
      <c r="E948" s="8">
        <v>35056.2618</v>
      </c>
    </row>
    <row r="949" spans="1:5">
      <c r="A949" s="7" t="s">
        <v>345</v>
      </c>
      <c r="B949" s="7" t="s">
        <v>1064</v>
      </c>
      <c r="C949" s="8">
        <v>0</v>
      </c>
      <c r="D949" s="8">
        <v>1457.7203</v>
      </c>
      <c r="E949" s="8">
        <v>21457.982</v>
      </c>
    </row>
    <row r="950" spans="1:5">
      <c r="A950" s="7" t="s">
        <v>345</v>
      </c>
      <c r="B950" s="7" t="s">
        <v>1065</v>
      </c>
      <c r="C950" s="8">
        <v>1540.0438999999999</v>
      </c>
      <c r="D950" s="8">
        <v>0</v>
      </c>
      <c r="E950" s="8">
        <v>19917.938099999999</v>
      </c>
    </row>
    <row r="951" spans="1:5">
      <c r="A951" s="7" t="s">
        <v>345</v>
      </c>
      <c r="B951" s="7" t="s">
        <v>1066</v>
      </c>
      <c r="C951" s="8">
        <v>0</v>
      </c>
      <c r="D951" s="8">
        <v>3885.3132999999998</v>
      </c>
      <c r="E951" s="8">
        <v>23803.251400000001</v>
      </c>
    </row>
    <row r="952" spans="1:5">
      <c r="A952" s="7" t="s">
        <v>345</v>
      </c>
      <c r="B952" s="7" t="s">
        <v>1067</v>
      </c>
      <c r="C952" s="8">
        <v>0</v>
      </c>
      <c r="D952" s="8">
        <v>7527.8359</v>
      </c>
      <c r="E952" s="8">
        <v>107528.0873</v>
      </c>
    </row>
    <row r="953" spans="1:5">
      <c r="A953" s="7" t="s">
        <v>345</v>
      </c>
      <c r="B953" s="7" t="s">
        <v>1068</v>
      </c>
      <c r="C953" s="8">
        <v>21119.373</v>
      </c>
      <c r="D953" s="8">
        <v>0</v>
      </c>
      <c r="E953" s="8">
        <v>104408.71430000001</v>
      </c>
    </row>
    <row r="954" spans="1:5">
      <c r="A954" s="7" t="s">
        <v>345</v>
      </c>
      <c r="B954" s="7" t="s">
        <v>1069</v>
      </c>
      <c r="C954" s="8">
        <v>48693.739200000004</v>
      </c>
      <c r="D954" s="8">
        <v>0</v>
      </c>
      <c r="E954" s="8">
        <v>98714.975099999996</v>
      </c>
    </row>
    <row r="955" spans="1:5">
      <c r="A955" s="7" t="s">
        <v>345</v>
      </c>
      <c r="B955" s="7" t="s">
        <v>1070</v>
      </c>
      <c r="C955" s="8">
        <v>0</v>
      </c>
      <c r="D955" s="8">
        <v>3527.1556999999998</v>
      </c>
      <c r="E955" s="8">
        <v>102242.1308</v>
      </c>
    </row>
    <row r="956" spans="1:5">
      <c r="A956" s="7" t="s">
        <v>345</v>
      </c>
      <c r="B956" s="7" t="s">
        <v>1071</v>
      </c>
      <c r="C956" s="8">
        <v>30840.219099999998</v>
      </c>
      <c r="D956" s="8">
        <v>0</v>
      </c>
      <c r="E956" s="8">
        <v>71401.911699999997</v>
      </c>
    </row>
    <row r="957" spans="1:5">
      <c r="A957" s="7" t="s">
        <v>345</v>
      </c>
      <c r="B957" s="7" t="s">
        <v>1072</v>
      </c>
      <c r="C957" s="8">
        <v>49637.885600000001</v>
      </c>
      <c r="D957" s="8">
        <v>0</v>
      </c>
      <c r="E957" s="8">
        <v>43574.0262</v>
      </c>
    </row>
    <row r="958" spans="1:5">
      <c r="A958" s="7" t="s">
        <v>345</v>
      </c>
      <c r="B958" s="7" t="s">
        <v>1073</v>
      </c>
      <c r="C958" s="8">
        <v>0</v>
      </c>
      <c r="D958" s="8">
        <v>1076.1515999999999</v>
      </c>
      <c r="E958" s="8">
        <v>34750.1777</v>
      </c>
    </row>
    <row r="959" spans="1:5">
      <c r="A959" s="7" t="s">
        <v>345</v>
      </c>
      <c r="B959" s="7" t="s">
        <v>1074</v>
      </c>
      <c r="C959" s="8">
        <v>0</v>
      </c>
      <c r="D959" s="8">
        <v>12640.093500000001</v>
      </c>
      <c r="E959" s="8">
        <v>47390.271200000003</v>
      </c>
    </row>
    <row r="960" spans="1:5">
      <c r="A960" s="7" t="s">
        <v>345</v>
      </c>
      <c r="B960" s="7" t="s">
        <v>1075</v>
      </c>
      <c r="C960" s="8">
        <v>0</v>
      </c>
      <c r="D960" s="8">
        <v>16293.929</v>
      </c>
      <c r="E960" s="8">
        <v>61044.200199999999</v>
      </c>
    </row>
    <row r="961" spans="1:5">
      <c r="A961" s="7" t="s">
        <v>345</v>
      </c>
      <c r="B961" s="7" t="s">
        <v>1076</v>
      </c>
      <c r="C961" s="8">
        <v>1468.3782000000001</v>
      </c>
      <c r="D961" s="8">
        <v>0</v>
      </c>
      <c r="E961" s="8">
        <v>59575.822</v>
      </c>
    </row>
    <row r="962" spans="1:5">
      <c r="A962" s="7" t="s">
        <v>345</v>
      </c>
      <c r="B962" s="7" t="s">
        <v>1077</v>
      </c>
      <c r="C962" s="8">
        <v>28456.149700000002</v>
      </c>
      <c r="D962" s="8">
        <v>0</v>
      </c>
      <c r="E962" s="8">
        <v>21544.672299999998</v>
      </c>
    </row>
    <row r="963" spans="1:5">
      <c r="A963" s="7" t="s">
        <v>345</v>
      </c>
      <c r="B963" s="7" t="s">
        <v>1078</v>
      </c>
      <c r="C963" s="8">
        <v>0</v>
      </c>
      <c r="D963" s="8">
        <v>1921.489</v>
      </c>
      <c r="E963" s="8">
        <v>33466.1613</v>
      </c>
    </row>
    <row r="964" spans="1:5">
      <c r="A964" s="7" t="s">
        <v>345</v>
      </c>
      <c r="B964" s="7" t="s">
        <v>1079</v>
      </c>
      <c r="C964" s="8">
        <v>0</v>
      </c>
      <c r="D964" s="8">
        <v>8123.4192000000003</v>
      </c>
      <c r="E964" s="8">
        <v>57589.580499999996</v>
      </c>
    </row>
    <row r="965" spans="1:5">
      <c r="A965" s="7" t="s">
        <v>345</v>
      </c>
      <c r="B965" s="7" t="s">
        <v>1080</v>
      </c>
      <c r="C965" s="8">
        <v>52391.802300000003</v>
      </c>
      <c r="D965" s="8">
        <v>0</v>
      </c>
      <c r="E965" s="8">
        <v>10197.778200000001</v>
      </c>
    </row>
    <row r="966" spans="1:5">
      <c r="A966" s="7" t="s">
        <v>345</v>
      </c>
      <c r="B966" s="7" t="s">
        <v>1081</v>
      </c>
      <c r="C966" s="8">
        <v>5588.9989999999998</v>
      </c>
      <c r="D966" s="8">
        <v>0</v>
      </c>
      <c r="E966" s="8">
        <v>4608.7791999999999</v>
      </c>
    </row>
    <row r="967" spans="1:5">
      <c r="A967" s="7" t="s">
        <v>345</v>
      </c>
      <c r="B967" s="7" t="s">
        <v>1082</v>
      </c>
      <c r="C967" s="8">
        <v>0</v>
      </c>
      <c r="D967" s="8">
        <v>1352.1352999999999</v>
      </c>
      <c r="E967" s="8">
        <v>11960.914500000001</v>
      </c>
    </row>
    <row r="968" spans="1:5">
      <c r="A968" s="7" t="s">
        <v>345</v>
      </c>
      <c r="B968" s="7" t="s">
        <v>1083</v>
      </c>
      <c r="C968" s="8">
        <v>17225.757300000001</v>
      </c>
      <c r="D968" s="8">
        <v>0</v>
      </c>
      <c r="E968" s="8">
        <v>12735.1572</v>
      </c>
    </row>
    <row r="969" spans="1:5">
      <c r="A969" s="7" t="s">
        <v>345</v>
      </c>
      <c r="B969" s="7" t="s">
        <v>1084</v>
      </c>
      <c r="C969" s="8">
        <v>0</v>
      </c>
      <c r="D969" s="8">
        <v>1796.8776</v>
      </c>
      <c r="E969" s="8">
        <v>14532.034799999999</v>
      </c>
    </row>
    <row r="970" spans="1:5">
      <c r="A970" s="7" t="s">
        <v>345</v>
      </c>
      <c r="B970" s="7" t="s">
        <v>1085</v>
      </c>
      <c r="C970" s="8">
        <v>13892.743700000001</v>
      </c>
      <c r="D970" s="8">
        <v>0</v>
      </c>
      <c r="E970" s="8">
        <v>639.29110000000003</v>
      </c>
    </row>
    <row r="971" spans="1:5">
      <c r="A971" s="9" t="s">
        <v>1086</v>
      </c>
      <c r="B971" s="9" t="s">
        <v>1087</v>
      </c>
      <c r="C971" s="10">
        <v>88.5</v>
      </c>
      <c r="D971" s="8">
        <v>0</v>
      </c>
      <c r="E971" s="8">
        <v>550.79110000000003</v>
      </c>
    </row>
    <row r="972" spans="1:5">
      <c r="A972" s="7" t="s">
        <v>345</v>
      </c>
      <c r="B972" s="7" t="s">
        <v>1087</v>
      </c>
      <c r="C972" s="8">
        <v>9004.5149000000001</v>
      </c>
      <c r="D972" s="8">
        <v>0</v>
      </c>
      <c r="E972" s="8">
        <v>55246.2762</v>
      </c>
    </row>
    <row r="973" spans="1:5">
      <c r="A973" s="7" t="s">
        <v>345</v>
      </c>
      <c r="B973" s="7" t="s">
        <v>1088</v>
      </c>
      <c r="C973" s="8">
        <v>863.5992</v>
      </c>
      <c r="D973" s="8">
        <v>0</v>
      </c>
      <c r="E973" s="8">
        <v>49382.677000000003</v>
      </c>
    </row>
    <row r="974" spans="1:5">
      <c r="A974" s="7" t="s">
        <v>345</v>
      </c>
      <c r="B974" s="7" t="s">
        <v>1089</v>
      </c>
      <c r="C974" s="8">
        <v>28447.509699999999</v>
      </c>
      <c r="D974" s="8">
        <v>0</v>
      </c>
      <c r="E974" s="8">
        <v>20935.167300000001</v>
      </c>
    </row>
    <row r="975" spans="1:5">
      <c r="A975" s="7" t="s">
        <v>345</v>
      </c>
      <c r="B975" s="7" t="s">
        <v>1090</v>
      </c>
      <c r="C975" s="8">
        <v>0</v>
      </c>
      <c r="D975" s="8">
        <v>5133.9504999999999</v>
      </c>
      <c r="E975" s="8">
        <v>26069.117900000001</v>
      </c>
    </row>
    <row r="976" spans="1:5">
      <c r="A976" s="7" t="s">
        <v>345</v>
      </c>
      <c r="B976" s="7" t="s">
        <v>1091</v>
      </c>
      <c r="C976" s="8">
        <v>0</v>
      </c>
      <c r="D976" s="8">
        <v>5608.4946</v>
      </c>
      <c r="E976" s="8">
        <v>25677.612400000002</v>
      </c>
    </row>
    <row r="977" spans="1:5">
      <c r="A977" s="7" t="s">
        <v>345</v>
      </c>
      <c r="B977" s="7" t="s">
        <v>1092</v>
      </c>
      <c r="C977" s="8">
        <v>4922.2905000000001</v>
      </c>
      <c r="D977" s="8">
        <v>0</v>
      </c>
      <c r="E977" s="8">
        <v>5686.3218999999999</v>
      </c>
    </row>
    <row r="978" spans="1:5">
      <c r="A978" s="9" t="s">
        <v>1093</v>
      </c>
      <c r="B978" s="9" t="s">
        <v>1094</v>
      </c>
      <c r="C978" s="10">
        <v>88.5</v>
      </c>
      <c r="D978" s="8">
        <v>0</v>
      </c>
      <c r="E978" s="8">
        <v>5597.8218999999999</v>
      </c>
    </row>
    <row r="979" spans="1:5">
      <c r="A979" s="7" t="s">
        <v>345</v>
      </c>
      <c r="B979" s="7" t="s">
        <v>1094</v>
      </c>
      <c r="C979" s="8">
        <v>8284.8274000000001</v>
      </c>
      <c r="D979" s="8">
        <v>0</v>
      </c>
      <c r="E979" s="8">
        <v>-687.00540000000001</v>
      </c>
    </row>
    <row r="980" spans="1:5">
      <c r="A980" s="7" t="s">
        <v>345</v>
      </c>
      <c r="B980" s="7" t="s">
        <v>1095</v>
      </c>
      <c r="C980" s="8">
        <v>4612.8114999999998</v>
      </c>
      <c r="D980" s="8">
        <v>0</v>
      </c>
      <c r="E980" s="8">
        <v>114700.18309999999</v>
      </c>
    </row>
    <row r="981" spans="1:5">
      <c r="A981" s="7" t="s">
        <v>345</v>
      </c>
      <c r="B981" s="7" t="s">
        <v>1096</v>
      </c>
      <c r="C981" s="8">
        <v>0</v>
      </c>
      <c r="D981" s="8">
        <v>24128.211899999998</v>
      </c>
      <c r="E981" s="8">
        <v>138828.39490000001</v>
      </c>
    </row>
    <row r="982" spans="1:5">
      <c r="A982" s="7" t="s">
        <v>345</v>
      </c>
      <c r="B982" s="7" t="s">
        <v>1097</v>
      </c>
      <c r="C982" s="8">
        <v>0</v>
      </c>
      <c r="D982" s="8">
        <v>10770.8141</v>
      </c>
      <c r="E982" s="8">
        <v>129599.20909999999</v>
      </c>
    </row>
    <row r="983" spans="1:5">
      <c r="A983" s="7" t="s">
        <v>345</v>
      </c>
      <c r="B983" s="7" t="s">
        <v>1098</v>
      </c>
      <c r="C983" s="8">
        <v>20608.9375</v>
      </c>
      <c r="D983" s="8">
        <v>0</v>
      </c>
      <c r="E983" s="8">
        <v>158990.27160000001</v>
      </c>
    </row>
    <row r="984" spans="1:5">
      <c r="A984" s="7" t="s">
        <v>345</v>
      </c>
      <c r="B984" s="7" t="s">
        <v>1099</v>
      </c>
      <c r="C984" s="8">
        <v>0</v>
      </c>
      <c r="D984" s="8">
        <v>17680.574000000001</v>
      </c>
      <c r="E984" s="8">
        <v>176670.8456</v>
      </c>
    </row>
    <row r="985" spans="1:5">
      <c r="A985" s="7" t="s">
        <v>345</v>
      </c>
      <c r="B985" s="7" t="s">
        <v>1100</v>
      </c>
      <c r="C985" s="8">
        <v>0</v>
      </c>
      <c r="D985" s="8">
        <v>18621.555499999999</v>
      </c>
      <c r="E985" s="8">
        <v>195292.40109999999</v>
      </c>
    </row>
    <row r="986" spans="1:5">
      <c r="A986" s="7" t="s">
        <v>345</v>
      </c>
      <c r="B986" s="7" t="s">
        <v>1101</v>
      </c>
      <c r="C986" s="8">
        <v>0</v>
      </c>
      <c r="D986" s="8">
        <v>6629.4071000000004</v>
      </c>
      <c r="E986" s="8">
        <v>201921.8082</v>
      </c>
    </row>
    <row r="987" spans="1:5">
      <c r="A987" s="7" t="s">
        <v>345</v>
      </c>
      <c r="B987" s="7" t="s">
        <v>1102</v>
      </c>
      <c r="C987" s="8">
        <v>119429.8949</v>
      </c>
      <c r="D987" s="8">
        <v>0</v>
      </c>
      <c r="E987" s="8">
        <v>147199.51329999999</v>
      </c>
    </row>
    <row r="988" spans="1:5">
      <c r="A988" s="7" t="s">
        <v>345</v>
      </c>
      <c r="B988" s="7" t="s">
        <v>1103</v>
      </c>
      <c r="C988" s="8">
        <v>0</v>
      </c>
      <c r="D988" s="8">
        <v>84419.735000000001</v>
      </c>
      <c r="E988" s="8">
        <v>251619.24830000001</v>
      </c>
    </row>
    <row r="989" spans="1:5">
      <c r="A989" s="7" t="s">
        <v>345</v>
      </c>
      <c r="B989" s="7" t="s">
        <v>1104</v>
      </c>
      <c r="C989" s="8">
        <v>0</v>
      </c>
      <c r="D989" s="8">
        <v>22541.465100000001</v>
      </c>
      <c r="E989" s="8">
        <v>259160.71340000001</v>
      </c>
    </row>
    <row r="990" spans="1:5">
      <c r="A990" s="7" t="s">
        <v>345</v>
      </c>
      <c r="B990" s="7" t="s">
        <v>1105</v>
      </c>
      <c r="C990" s="8">
        <v>0</v>
      </c>
      <c r="D990" s="8">
        <v>27888.392400000001</v>
      </c>
      <c r="E990" s="8">
        <v>267049.10580000002</v>
      </c>
    </row>
    <row r="991" spans="1:5">
      <c r="A991" s="7" t="s">
        <v>345</v>
      </c>
      <c r="B991" s="7" t="s">
        <v>1106</v>
      </c>
      <c r="C991" s="8">
        <v>85100.306400000001</v>
      </c>
      <c r="D991" s="8">
        <v>0</v>
      </c>
      <c r="E991" s="8">
        <v>181948.79939999999</v>
      </c>
    </row>
    <row r="992" spans="1:5">
      <c r="A992" s="7" t="s">
        <v>345</v>
      </c>
      <c r="B992" s="7" t="s">
        <v>1107</v>
      </c>
      <c r="C992" s="8">
        <v>0</v>
      </c>
      <c r="D992" s="8">
        <v>23948.455600000001</v>
      </c>
      <c r="E992" s="8">
        <v>205897.255</v>
      </c>
    </row>
    <row r="993" spans="1:5">
      <c r="A993" s="7" t="s">
        <v>345</v>
      </c>
      <c r="B993" s="7" t="s">
        <v>1108</v>
      </c>
      <c r="C993" s="8">
        <v>160467.86919999999</v>
      </c>
      <c r="D993" s="8">
        <v>0</v>
      </c>
      <c r="E993" s="8">
        <v>45429.385799999996</v>
      </c>
    </row>
    <row r="994" spans="1:5">
      <c r="A994" s="7" t="s">
        <v>345</v>
      </c>
      <c r="B994" s="7" t="s">
        <v>1109</v>
      </c>
      <c r="C994" s="8">
        <v>0</v>
      </c>
      <c r="D994" s="8">
        <v>5169.1764999999996</v>
      </c>
      <c r="E994" s="8">
        <v>60598.562299999998</v>
      </c>
    </row>
    <row r="995" spans="1:5">
      <c r="A995" s="7" t="s">
        <v>345</v>
      </c>
      <c r="B995" s="7" t="s">
        <v>1110</v>
      </c>
      <c r="C995" s="8">
        <v>47652.881999999998</v>
      </c>
      <c r="D995" s="8">
        <v>0</v>
      </c>
      <c r="E995" s="8">
        <v>12945.6803</v>
      </c>
    </row>
    <row r="996" spans="1:5">
      <c r="A996" s="7" t="s">
        <v>345</v>
      </c>
      <c r="B996" s="7" t="s">
        <v>1111</v>
      </c>
      <c r="C996" s="8">
        <v>0</v>
      </c>
      <c r="D996" s="8">
        <v>10703.895699999999</v>
      </c>
      <c r="E996" s="8">
        <v>153649.576</v>
      </c>
    </row>
    <row r="997" spans="1:5">
      <c r="A997" s="7" t="s">
        <v>345</v>
      </c>
      <c r="B997" s="7" t="s">
        <v>1112</v>
      </c>
      <c r="C997" s="8">
        <v>0</v>
      </c>
      <c r="D997" s="8">
        <v>25491.254499999999</v>
      </c>
      <c r="E997" s="8">
        <v>154140.83059999999</v>
      </c>
    </row>
    <row r="998" spans="1:5">
      <c r="A998" s="7" t="s">
        <v>345</v>
      </c>
      <c r="B998" s="7" t="s">
        <v>1113</v>
      </c>
      <c r="C998" s="8">
        <v>0</v>
      </c>
      <c r="D998" s="8">
        <v>118.187</v>
      </c>
      <c r="E998" s="8">
        <v>154259.01759999999</v>
      </c>
    </row>
    <row r="999" spans="1:5">
      <c r="A999" s="7" t="s">
        <v>345</v>
      </c>
      <c r="B999" s="7" t="s">
        <v>1114</v>
      </c>
      <c r="C999" s="8">
        <v>0</v>
      </c>
      <c r="D999" s="8">
        <v>21089.669600000001</v>
      </c>
      <c r="E999" s="8">
        <v>259348.68719999999</v>
      </c>
    </row>
    <row r="1000" spans="1:5">
      <c r="A1000" s="7" t="s">
        <v>345</v>
      </c>
      <c r="B1000" s="7" t="s">
        <v>1115</v>
      </c>
      <c r="C1000" s="8">
        <v>0</v>
      </c>
      <c r="D1000" s="8">
        <v>46793.643700000001</v>
      </c>
      <c r="E1000" s="8">
        <v>306142.3309</v>
      </c>
    </row>
    <row r="1001" spans="1:5">
      <c r="A1001" s="7" t="s">
        <v>345</v>
      </c>
      <c r="B1001" s="7" t="s">
        <v>1116</v>
      </c>
      <c r="C1001" s="8">
        <v>107893.6134</v>
      </c>
      <c r="D1001" s="8">
        <v>0</v>
      </c>
      <c r="E1001" s="8">
        <v>212248.7175</v>
      </c>
    </row>
    <row r="1002" spans="1:5">
      <c r="A1002" s="7" t="s">
        <v>345</v>
      </c>
      <c r="B1002" s="7" t="s">
        <v>1117</v>
      </c>
      <c r="C1002" s="8">
        <v>0</v>
      </c>
      <c r="D1002" s="8">
        <v>13410.341399999999</v>
      </c>
      <c r="E1002" s="8">
        <v>190659.0589</v>
      </c>
    </row>
    <row r="1003" spans="1:5">
      <c r="A1003" s="7" t="s">
        <v>345</v>
      </c>
      <c r="B1003" s="7" t="s">
        <v>1118</v>
      </c>
      <c r="C1003" s="8">
        <v>72015.286200000002</v>
      </c>
      <c r="D1003" s="8">
        <v>0</v>
      </c>
      <c r="E1003" s="8">
        <v>94643.772700000001</v>
      </c>
    </row>
    <row r="1004" spans="1:5">
      <c r="A1004" s="7" t="s">
        <v>345</v>
      </c>
      <c r="B1004" s="7" t="s">
        <v>1119</v>
      </c>
      <c r="C1004" s="8">
        <v>51086.913099999998</v>
      </c>
      <c r="D1004" s="8">
        <v>0</v>
      </c>
      <c r="E1004" s="8">
        <v>43556.859600000003</v>
      </c>
    </row>
    <row r="1005" spans="1:5">
      <c r="A1005" s="7" t="s">
        <v>345</v>
      </c>
      <c r="B1005" s="7" t="s">
        <v>1120</v>
      </c>
      <c r="C1005" s="8">
        <v>13556.4054</v>
      </c>
      <c r="D1005" s="8">
        <v>0</v>
      </c>
      <c r="E1005" s="8">
        <v>30000.454300000001</v>
      </c>
    </row>
    <row r="1006" spans="1:5">
      <c r="A1006" s="7" t="s">
        <v>345</v>
      </c>
      <c r="B1006" s="7" t="s">
        <v>1121</v>
      </c>
      <c r="C1006" s="8">
        <v>0</v>
      </c>
      <c r="D1006" s="8">
        <v>10468.876700000001</v>
      </c>
      <c r="E1006" s="8">
        <v>40469.330999999998</v>
      </c>
    </row>
    <row r="1007" spans="1:5">
      <c r="A1007" s="7" t="s">
        <v>345</v>
      </c>
      <c r="B1007" s="7" t="s">
        <v>1122</v>
      </c>
      <c r="C1007" s="8">
        <v>0</v>
      </c>
      <c r="D1007" s="8">
        <v>1306.8316</v>
      </c>
      <c r="E1007" s="8">
        <v>41776.162600000003</v>
      </c>
    </row>
    <row r="1008" spans="1:5">
      <c r="A1008" s="7" t="s">
        <v>345</v>
      </c>
      <c r="B1008" s="7" t="s">
        <v>1123</v>
      </c>
      <c r="C1008" s="8">
        <v>18579.953300000001</v>
      </c>
      <c r="D1008" s="8">
        <v>0</v>
      </c>
      <c r="E1008" s="8">
        <v>22096.209299999999</v>
      </c>
    </row>
    <row r="1009" spans="1:5">
      <c r="A1009" s="7" t="s">
        <v>345</v>
      </c>
      <c r="B1009" s="7" t="s">
        <v>1124</v>
      </c>
      <c r="C1009" s="8">
        <v>0</v>
      </c>
      <c r="D1009" s="8">
        <v>10692.8833</v>
      </c>
      <c r="E1009" s="8">
        <v>32789.092600000004</v>
      </c>
    </row>
    <row r="1010" spans="1:5">
      <c r="A1010" s="7" t="s">
        <v>345</v>
      </c>
      <c r="B1010" s="7" t="s">
        <v>1125</v>
      </c>
      <c r="C1010" s="8">
        <v>5400.8525</v>
      </c>
      <c r="D1010" s="8">
        <v>0</v>
      </c>
      <c r="E1010" s="8">
        <v>27388.240000000002</v>
      </c>
    </row>
    <row r="1011" spans="1:5">
      <c r="A1011" s="7" t="s">
        <v>345</v>
      </c>
      <c r="B1011" s="7" t="s">
        <v>1126</v>
      </c>
      <c r="C1011" s="8">
        <v>25848.230899999999</v>
      </c>
      <c r="D1011" s="8">
        <v>0</v>
      </c>
      <c r="E1011" s="8">
        <v>1540.0091</v>
      </c>
    </row>
    <row r="1012" spans="1:5">
      <c r="A1012" s="7" t="s">
        <v>345</v>
      </c>
      <c r="B1012" s="7" t="s">
        <v>1127</v>
      </c>
      <c r="C1012" s="8">
        <v>2999.4079999999999</v>
      </c>
      <c r="D1012" s="8">
        <v>0</v>
      </c>
      <c r="E1012" s="8">
        <v>5000.6009999999997</v>
      </c>
    </row>
    <row r="1013" spans="1:5">
      <c r="A1013" s="7" t="s">
        <v>1128</v>
      </c>
      <c r="B1013" s="7" t="s">
        <v>1127</v>
      </c>
      <c r="C1013" s="8">
        <v>71.868499999999997</v>
      </c>
      <c r="D1013" s="8">
        <v>0</v>
      </c>
      <c r="E1013" s="8">
        <v>4928.7326000000003</v>
      </c>
    </row>
    <row r="1014" spans="1:5">
      <c r="A1014" s="7" t="s">
        <v>345</v>
      </c>
      <c r="B1014" s="7" t="s">
        <v>1129</v>
      </c>
      <c r="C1014" s="8">
        <v>0</v>
      </c>
      <c r="D1014" s="8">
        <v>3799.7179000000001</v>
      </c>
      <c r="E1014" s="8">
        <v>13928.450500000001</v>
      </c>
    </row>
    <row r="1015" spans="1:5">
      <c r="A1015" s="7" t="s">
        <v>345</v>
      </c>
      <c r="B1015" s="7" t="s">
        <v>1130</v>
      </c>
      <c r="C1015" s="8">
        <v>2212.2029000000002</v>
      </c>
      <c r="D1015" s="8">
        <v>0</v>
      </c>
      <c r="E1015" s="8">
        <v>9716.2476000000006</v>
      </c>
    </row>
    <row r="1016" spans="1:5">
      <c r="A1016" s="7" t="s">
        <v>345</v>
      </c>
      <c r="B1016" s="7" t="s">
        <v>1131</v>
      </c>
      <c r="C1016" s="8">
        <v>0</v>
      </c>
      <c r="D1016" s="8">
        <v>7510.4232000000002</v>
      </c>
      <c r="E1016" s="8">
        <v>38126.6708</v>
      </c>
    </row>
    <row r="1017" spans="1:5">
      <c r="A1017" s="7" t="s">
        <v>345</v>
      </c>
      <c r="B1017" s="7" t="s">
        <v>1132</v>
      </c>
      <c r="C1017" s="8">
        <v>0</v>
      </c>
      <c r="D1017" s="8">
        <v>6219.1854000000003</v>
      </c>
      <c r="E1017" s="8">
        <v>44345.856200000002</v>
      </c>
    </row>
    <row r="1018" spans="1:5">
      <c r="A1018" s="7" t="s">
        <v>345</v>
      </c>
      <c r="B1018" s="7" t="s">
        <v>1133</v>
      </c>
      <c r="C1018" s="8">
        <v>0</v>
      </c>
      <c r="D1018" s="8">
        <v>7136.3428000000004</v>
      </c>
      <c r="E1018" s="8">
        <v>43356.199000000001</v>
      </c>
    </row>
    <row r="1019" spans="1:5">
      <c r="A1019" s="7" t="s">
        <v>345</v>
      </c>
      <c r="B1019" s="7" t="s">
        <v>1134</v>
      </c>
      <c r="C1019" s="8">
        <v>4364.9444000000003</v>
      </c>
      <c r="D1019" s="8">
        <v>0</v>
      </c>
      <c r="E1019" s="8">
        <v>32991.2546</v>
      </c>
    </row>
    <row r="1020" spans="1:5">
      <c r="A1020" s="7" t="s">
        <v>1136</v>
      </c>
      <c r="B1020" s="7" t="s">
        <v>1135</v>
      </c>
      <c r="C1020" s="8">
        <v>500.00020000000001</v>
      </c>
      <c r="D1020" s="8">
        <v>0</v>
      </c>
      <c r="E1020" s="8">
        <v>15491.2544</v>
      </c>
    </row>
    <row r="1021" spans="1:5">
      <c r="A1021" s="7" t="s">
        <v>345</v>
      </c>
      <c r="B1021" s="7" t="s">
        <v>1135</v>
      </c>
      <c r="C1021" s="8">
        <v>982.50490000000002</v>
      </c>
      <c r="D1021" s="8">
        <v>0</v>
      </c>
      <c r="E1021" s="8">
        <v>14508.7495</v>
      </c>
    </row>
    <row r="1022" spans="1:5">
      <c r="A1022" s="7" t="s">
        <v>345</v>
      </c>
      <c r="B1022" s="7" t="s">
        <v>1137</v>
      </c>
      <c r="C1022" s="8">
        <v>449.69459999999998</v>
      </c>
      <c r="D1022" s="8">
        <v>0</v>
      </c>
      <c r="E1022" s="8">
        <v>14059.054899999999</v>
      </c>
    </row>
    <row r="1023" spans="1:5">
      <c r="A1023" s="7" t="s">
        <v>345</v>
      </c>
      <c r="B1023" s="7" t="s">
        <v>1138</v>
      </c>
      <c r="C1023" s="8">
        <v>1540.3951</v>
      </c>
      <c r="D1023" s="8">
        <v>0</v>
      </c>
      <c r="E1023" s="8">
        <v>12518.659799999999</v>
      </c>
    </row>
    <row r="1024" spans="1:5">
      <c r="A1024" s="7" t="s">
        <v>345</v>
      </c>
      <c r="B1024" s="7" t="s">
        <v>1139</v>
      </c>
      <c r="C1024" s="8">
        <v>12867.889800000001</v>
      </c>
      <c r="D1024" s="8">
        <v>0</v>
      </c>
      <c r="E1024" s="8">
        <v>37132.769999999997</v>
      </c>
    </row>
    <row r="1025" spans="1:5">
      <c r="A1025" s="7" t="s">
        <v>345</v>
      </c>
      <c r="B1025" s="7" t="s">
        <v>1140</v>
      </c>
      <c r="C1025" s="8">
        <v>0</v>
      </c>
      <c r="D1025" s="8">
        <v>3224.7402999999999</v>
      </c>
      <c r="E1025" s="8">
        <v>47357.510199999997</v>
      </c>
    </row>
    <row r="1026" spans="1:5">
      <c r="A1026" s="7" t="s">
        <v>345</v>
      </c>
      <c r="B1026" s="7" t="s">
        <v>1141</v>
      </c>
      <c r="C1026" s="8">
        <v>4030.9348</v>
      </c>
      <c r="D1026" s="8">
        <v>0</v>
      </c>
      <c r="E1026" s="8">
        <v>43326.575400000002</v>
      </c>
    </row>
    <row r="1027" spans="1:5">
      <c r="A1027" s="7" t="s">
        <v>345</v>
      </c>
      <c r="B1027" s="7" t="s">
        <v>1142</v>
      </c>
      <c r="C1027" s="8">
        <v>31286.712599999999</v>
      </c>
      <c r="D1027" s="8">
        <v>0</v>
      </c>
      <c r="E1027" s="8">
        <v>19039.862799999999</v>
      </c>
    </row>
    <row r="1028" spans="1:5">
      <c r="A1028" s="7" t="s">
        <v>345</v>
      </c>
      <c r="B1028" s="7" t="s">
        <v>1143</v>
      </c>
      <c r="C1028" s="8">
        <v>9046.2230999999992</v>
      </c>
      <c r="D1028" s="8">
        <v>0</v>
      </c>
      <c r="E1028" s="8">
        <v>28993.6397</v>
      </c>
    </row>
    <row r="1029" spans="1:5">
      <c r="A1029" s="7" t="s">
        <v>345</v>
      </c>
      <c r="B1029" s="7" t="s">
        <v>1144</v>
      </c>
      <c r="C1029" s="8">
        <v>797.91110000000003</v>
      </c>
      <c r="D1029" s="8">
        <v>0</v>
      </c>
      <c r="E1029" s="8">
        <v>30202.728599999999</v>
      </c>
    </row>
    <row r="1030" spans="1:5">
      <c r="A1030" s="7" t="s">
        <v>345</v>
      </c>
      <c r="B1030" s="7" t="s">
        <v>1145</v>
      </c>
      <c r="C1030" s="8">
        <v>0</v>
      </c>
      <c r="D1030" s="8">
        <v>4238.5082000000002</v>
      </c>
      <c r="E1030" s="8">
        <v>34441.236799999999</v>
      </c>
    </row>
    <row r="1031" spans="1:5">
      <c r="A1031" s="7" t="s">
        <v>345</v>
      </c>
      <c r="B1031" s="7" t="s">
        <v>1146</v>
      </c>
      <c r="C1031" s="8">
        <v>7051.5983999999999</v>
      </c>
      <c r="D1031" s="8">
        <v>0</v>
      </c>
      <c r="E1031" s="8">
        <v>22989.638500000001</v>
      </c>
    </row>
    <row r="1032" spans="1:5">
      <c r="A1032" s="7" t="s">
        <v>345</v>
      </c>
      <c r="B1032" s="7" t="s">
        <v>1147</v>
      </c>
      <c r="C1032" s="8">
        <v>13718.6697</v>
      </c>
      <c r="D1032" s="8">
        <v>0</v>
      </c>
      <c r="E1032" s="8">
        <v>41270.968699999998</v>
      </c>
    </row>
    <row r="1033" spans="1:5">
      <c r="A1033" s="7" t="s">
        <v>345</v>
      </c>
      <c r="B1033" s="7" t="s">
        <v>1148</v>
      </c>
      <c r="C1033" s="8">
        <v>7780.9939000000004</v>
      </c>
      <c r="D1033" s="8">
        <v>0</v>
      </c>
      <c r="E1033" s="8">
        <v>33489.974900000001</v>
      </c>
    </row>
    <row r="1034" spans="1:5">
      <c r="A1034" s="7" t="s">
        <v>345</v>
      </c>
      <c r="B1034" s="7" t="s">
        <v>1149</v>
      </c>
      <c r="C1034" s="8">
        <v>1625.0594000000001</v>
      </c>
      <c r="D1034" s="8">
        <v>0</v>
      </c>
      <c r="E1034" s="8">
        <v>-1624.0845999999999</v>
      </c>
    </row>
    <row r="1035" spans="1:5">
      <c r="A1035" s="7" t="s">
        <v>345</v>
      </c>
      <c r="B1035" s="7" t="s">
        <v>1150</v>
      </c>
      <c r="C1035" s="8">
        <v>0</v>
      </c>
      <c r="D1035" s="8">
        <v>5973.0051000000003</v>
      </c>
      <c r="E1035" s="8">
        <v>37348.9205</v>
      </c>
    </row>
    <row r="1036" spans="1:5">
      <c r="A1036" s="7" t="s">
        <v>345</v>
      </c>
      <c r="B1036" s="7" t="s">
        <v>1151</v>
      </c>
      <c r="C1036" s="8">
        <v>24588.638800000001</v>
      </c>
      <c r="D1036" s="8">
        <v>0</v>
      </c>
      <c r="E1036" s="8">
        <v>30760.281800000001</v>
      </c>
    </row>
    <row r="1037" spans="1:5">
      <c r="A1037" s="7" t="s">
        <v>345</v>
      </c>
      <c r="B1037" s="7" t="s">
        <v>1152</v>
      </c>
      <c r="C1037" s="8">
        <v>22474.568500000001</v>
      </c>
      <c r="D1037" s="8">
        <v>0</v>
      </c>
      <c r="E1037" s="8">
        <v>8285.7132000000001</v>
      </c>
    </row>
    <row r="1038" spans="1:5">
      <c r="A1038" s="7" t="s">
        <v>345</v>
      </c>
      <c r="B1038" s="7" t="s">
        <v>1153</v>
      </c>
      <c r="C1038" s="8">
        <v>0</v>
      </c>
      <c r="D1038" s="8">
        <v>1025.2280000000001</v>
      </c>
      <c r="E1038" s="8">
        <v>9310.9411999999993</v>
      </c>
    </row>
    <row r="1039" spans="1:5">
      <c r="A1039" s="7" t="s">
        <v>345</v>
      </c>
      <c r="B1039" s="7" t="s">
        <v>1154</v>
      </c>
      <c r="C1039" s="8">
        <v>0</v>
      </c>
      <c r="D1039" s="8">
        <v>12957.9861</v>
      </c>
      <c r="E1039" s="8">
        <v>113983.9273</v>
      </c>
    </row>
    <row r="1040" spans="1:5">
      <c r="A1040" s="7" t="s">
        <v>345</v>
      </c>
      <c r="B1040" s="7" t="s">
        <v>1155</v>
      </c>
      <c r="C1040" s="8">
        <v>0</v>
      </c>
      <c r="D1040" s="8">
        <v>18866.801500000001</v>
      </c>
      <c r="E1040" s="8">
        <v>132850.72880000001</v>
      </c>
    </row>
    <row r="1041" spans="1:5">
      <c r="A1041" s="7" t="s">
        <v>345</v>
      </c>
      <c r="B1041" s="7" t="s">
        <v>1156</v>
      </c>
      <c r="C1041" s="8">
        <v>16425.4048</v>
      </c>
      <c r="D1041" s="8">
        <v>0</v>
      </c>
      <c r="E1041" s="8">
        <v>131425.32399999999</v>
      </c>
    </row>
    <row r="1042" spans="1:5">
      <c r="A1042" s="7" t="s">
        <v>345</v>
      </c>
      <c r="B1042" s="7" t="s">
        <v>1157</v>
      </c>
      <c r="C1042" s="8">
        <v>0</v>
      </c>
      <c r="D1042" s="8">
        <v>62045.412799999998</v>
      </c>
      <c r="E1042" s="8">
        <v>193470.73680000001</v>
      </c>
    </row>
    <row r="1043" spans="1:5">
      <c r="A1043" s="7" t="s">
        <v>345</v>
      </c>
      <c r="B1043" s="7" t="s">
        <v>1158</v>
      </c>
      <c r="C1043" s="8">
        <v>0</v>
      </c>
      <c r="D1043" s="8">
        <v>3782.5367000000001</v>
      </c>
      <c r="E1043" s="8">
        <v>147253.27350000001</v>
      </c>
    </row>
    <row r="1044" spans="1:5">
      <c r="A1044" s="7" t="s">
        <v>1159</v>
      </c>
      <c r="B1044" s="7" t="s">
        <v>1158</v>
      </c>
      <c r="C1044" s="8">
        <v>466.54360000000003</v>
      </c>
      <c r="D1044" s="8">
        <v>0</v>
      </c>
      <c r="E1044" s="8">
        <v>146786.7298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B570-C60D-914C-A77A-C5092F68AB0E}">
  <dimension ref="A1:H136"/>
  <sheetViews>
    <sheetView workbookViewId="0">
      <selection activeCell="H4" sqref="H4"/>
    </sheetView>
  </sheetViews>
  <sheetFormatPr baseColWidth="10" defaultRowHeight="16"/>
  <cols>
    <col min="1" max="1" width="32.5" bestFit="1" customWidth="1"/>
    <col min="2" max="2" width="10.33203125" bestFit="1" customWidth="1"/>
    <col min="3" max="5" width="10.1640625" bestFit="1" customWidth="1"/>
    <col min="8" max="8" width="15.5" bestFit="1" customWidth="1"/>
  </cols>
  <sheetData>
    <row r="1" spans="1:8">
      <c r="A1" s="11" t="s">
        <v>1160</v>
      </c>
      <c r="B1" s="11" t="s">
        <v>1161</v>
      </c>
      <c r="C1" s="11" t="s">
        <v>107</v>
      </c>
      <c r="D1" s="11" t="s">
        <v>108</v>
      </c>
      <c r="E1" s="11" t="s">
        <v>1162</v>
      </c>
    </row>
    <row r="2" spans="1:8" ht="24">
      <c r="A2" s="12" t="s">
        <v>1163</v>
      </c>
      <c r="B2" s="13">
        <v>45485</v>
      </c>
      <c r="C2" s="12">
        <v>979.12</v>
      </c>
      <c r="D2" s="12">
        <v>0</v>
      </c>
      <c r="E2" s="12">
        <v>120.88</v>
      </c>
      <c r="H2" s="7"/>
    </row>
    <row r="3" spans="1:8" ht="24">
      <c r="A3" s="12" t="s">
        <v>1163</v>
      </c>
      <c r="B3" s="13">
        <v>45491</v>
      </c>
      <c r="C3" s="12">
        <v>0</v>
      </c>
      <c r="D3" s="12">
        <v>22259.35</v>
      </c>
      <c r="E3" s="12">
        <v>52380.23</v>
      </c>
      <c r="H3" s="7"/>
    </row>
    <row r="4" spans="1:8" ht="24">
      <c r="A4" s="12" t="s">
        <v>1163</v>
      </c>
      <c r="B4" s="13">
        <v>45492</v>
      </c>
      <c r="C4" s="12">
        <v>0</v>
      </c>
      <c r="D4" s="12">
        <v>6954.92</v>
      </c>
      <c r="E4" s="12">
        <v>59335.15</v>
      </c>
      <c r="H4" s="7"/>
    </row>
    <row r="5" spans="1:8" ht="24">
      <c r="A5" s="12" t="s">
        <v>1163</v>
      </c>
      <c r="B5" s="13">
        <v>45495</v>
      </c>
      <c r="C5" s="12">
        <v>0</v>
      </c>
      <c r="D5" s="12">
        <v>25862.84</v>
      </c>
      <c r="E5" s="12">
        <v>25862.84</v>
      </c>
      <c r="H5" s="7"/>
    </row>
    <row r="6" spans="1:8" ht="24">
      <c r="A6" s="12" t="s">
        <v>1163</v>
      </c>
      <c r="B6" s="13">
        <v>45496</v>
      </c>
      <c r="C6" s="12">
        <v>20912.57</v>
      </c>
      <c r="D6" s="12">
        <v>0</v>
      </c>
      <c r="E6" s="12">
        <v>48.27</v>
      </c>
      <c r="H6" s="7"/>
    </row>
    <row r="7" spans="1:8" ht="24">
      <c r="A7" s="12" t="s">
        <v>1163</v>
      </c>
      <c r="B7" s="13">
        <v>45497</v>
      </c>
      <c r="C7" s="12">
        <v>0</v>
      </c>
      <c r="D7" s="12">
        <v>11609.89</v>
      </c>
      <c r="E7" s="12">
        <v>11609.89</v>
      </c>
      <c r="H7" s="7"/>
    </row>
    <row r="8" spans="1:8" ht="24">
      <c r="A8" s="12" t="s">
        <v>1163</v>
      </c>
      <c r="B8" s="13">
        <v>45498</v>
      </c>
      <c r="C8" s="12">
        <v>0</v>
      </c>
      <c r="D8" s="12">
        <v>22680.37</v>
      </c>
      <c r="E8" s="12">
        <v>22680.37</v>
      </c>
      <c r="H8" s="7"/>
    </row>
    <row r="9" spans="1:8" ht="24">
      <c r="A9" s="12" t="s">
        <v>1163</v>
      </c>
      <c r="B9" s="13">
        <v>45499</v>
      </c>
      <c r="C9" s="12">
        <v>37522.14</v>
      </c>
      <c r="D9" s="12">
        <v>0</v>
      </c>
      <c r="E9" s="12">
        <v>2158.23</v>
      </c>
      <c r="H9" s="7"/>
    </row>
    <row r="10" spans="1:8" ht="24">
      <c r="A10" s="12" t="s">
        <v>1163</v>
      </c>
      <c r="B10" s="13">
        <v>45502</v>
      </c>
      <c r="C10" s="12">
        <v>0</v>
      </c>
      <c r="D10" s="12">
        <v>163703.85</v>
      </c>
      <c r="E10" s="12">
        <v>163862.07999999999</v>
      </c>
      <c r="H10" s="7"/>
    </row>
    <row r="11" spans="1:8" ht="24">
      <c r="A11" s="12" t="s">
        <v>1163</v>
      </c>
      <c r="B11" s="13">
        <v>45503</v>
      </c>
      <c r="C11" s="12">
        <v>0</v>
      </c>
      <c r="D11" s="12">
        <v>13367.35</v>
      </c>
      <c r="E11" s="12">
        <v>114229.43</v>
      </c>
      <c r="H11" s="7"/>
    </row>
    <row r="12" spans="1:8">
      <c r="A12" s="12" t="s">
        <v>1163</v>
      </c>
      <c r="B12" s="13">
        <v>45504</v>
      </c>
      <c r="C12" s="12">
        <v>107070.59</v>
      </c>
      <c r="D12" s="12">
        <v>0</v>
      </c>
      <c r="E12" s="12">
        <v>22158.84</v>
      </c>
    </row>
    <row r="13" spans="1:8">
      <c r="A13" s="12" t="s">
        <v>1163</v>
      </c>
      <c r="B13" s="13">
        <v>45505</v>
      </c>
      <c r="C13" s="12">
        <v>0</v>
      </c>
      <c r="D13" s="12">
        <v>12987.63</v>
      </c>
      <c r="E13" s="12">
        <v>12987.63</v>
      </c>
    </row>
    <row r="14" spans="1:8">
      <c r="A14" s="12" t="s">
        <v>1163</v>
      </c>
      <c r="B14" s="13">
        <v>45506</v>
      </c>
      <c r="C14" s="12">
        <v>51474.14</v>
      </c>
      <c r="D14" s="12">
        <v>0</v>
      </c>
      <c r="E14" s="12">
        <v>118.49</v>
      </c>
    </row>
    <row r="15" spans="1:8">
      <c r="A15" s="12" t="s">
        <v>1163</v>
      </c>
      <c r="B15" s="13">
        <v>45509</v>
      </c>
      <c r="C15" s="12">
        <v>0</v>
      </c>
      <c r="D15" s="12">
        <v>18617.240000000002</v>
      </c>
      <c r="E15" s="12">
        <v>18735.73</v>
      </c>
    </row>
    <row r="16" spans="1:8">
      <c r="A16" s="12" t="s">
        <v>1163</v>
      </c>
      <c r="B16" s="13">
        <v>45510</v>
      </c>
      <c r="C16" s="12">
        <v>9283.4599999999991</v>
      </c>
      <c r="D16" s="12">
        <v>0</v>
      </c>
      <c r="E16" s="12">
        <v>157.27000000000001</v>
      </c>
    </row>
    <row r="17" spans="1:5">
      <c r="A17" s="12" t="s">
        <v>1163</v>
      </c>
      <c r="B17" s="13">
        <v>45511</v>
      </c>
      <c r="C17" s="12">
        <v>0</v>
      </c>
      <c r="D17" s="12">
        <v>26400.78</v>
      </c>
      <c r="E17" s="12">
        <v>26400.78</v>
      </c>
    </row>
    <row r="18" spans="1:5">
      <c r="A18" s="12" t="s">
        <v>1163</v>
      </c>
      <c r="B18" s="13">
        <v>45512</v>
      </c>
      <c r="C18" s="12">
        <v>40203.050000000003</v>
      </c>
      <c r="D18" s="12">
        <v>0</v>
      </c>
      <c r="E18" s="12">
        <v>122.73</v>
      </c>
    </row>
    <row r="19" spans="1:5">
      <c r="A19" s="12" t="s">
        <v>1163</v>
      </c>
      <c r="B19" s="13">
        <v>45517</v>
      </c>
      <c r="C19" s="12">
        <v>24403.9</v>
      </c>
      <c r="D19" s="12">
        <v>0</v>
      </c>
      <c r="E19" s="12">
        <v>88.83</v>
      </c>
    </row>
    <row r="20" spans="1:5">
      <c r="A20" s="12" t="s">
        <v>1163</v>
      </c>
      <c r="B20" s="13">
        <v>45518</v>
      </c>
      <c r="C20" s="12">
        <v>0</v>
      </c>
      <c r="D20" s="12">
        <v>3191.21</v>
      </c>
      <c r="E20" s="12">
        <v>3191.21</v>
      </c>
    </row>
    <row r="21" spans="1:5">
      <c r="A21" s="12" t="s">
        <v>1163</v>
      </c>
      <c r="B21" s="13">
        <v>45520</v>
      </c>
      <c r="C21" s="12">
        <v>38425.11</v>
      </c>
      <c r="D21" s="12">
        <v>0</v>
      </c>
      <c r="E21" s="12">
        <v>170.1</v>
      </c>
    </row>
    <row r="22" spans="1:5">
      <c r="A22" s="12" t="s">
        <v>1163</v>
      </c>
      <c r="B22" s="13">
        <v>45523</v>
      </c>
      <c r="C22" s="12">
        <v>0</v>
      </c>
      <c r="D22" s="12">
        <v>54293.72</v>
      </c>
      <c r="E22" s="12">
        <v>54293.72</v>
      </c>
    </row>
    <row r="23" spans="1:5">
      <c r="A23" s="12" t="s">
        <v>1163</v>
      </c>
      <c r="B23" s="13">
        <v>45524</v>
      </c>
      <c r="C23" s="12">
        <v>0</v>
      </c>
      <c r="D23" s="12">
        <v>19296.98</v>
      </c>
      <c r="E23" s="12">
        <v>19296.98</v>
      </c>
    </row>
    <row r="24" spans="1:5">
      <c r="A24" s="12" t="s">
        <v>1163</v>
      </c>
      <c r="B24" s="13">
        <v>45525</v>
      </c>
      <c r="C24" s="12">
        <v>0</v>
      </c>
      <c r="D24" s="12">
        <v>17903.72</v>
      </c>
      <c r="E24" s="12">
        <v>17903.72</v>
      </c>
    </row>
    <row r="25" spans="1:5">
      <c r="A25" s="12" t="s">
        <v>1163</v>
      </c>
      <c r="B25" s="13">
        <v>45526</v>
      </c>
      <c r="C25" s="12">
        <v>0</v>
      </c>
      <c r="D25" s="12">
        <v>30200.82</v>
      </c>
      <c r="E25" s="12">
        <v>30200.82</v>
      </c>
    </row>
    <row r="26" spans="1:5">
      <c r="A26" s="12" t="s">
        <v>1163</v>
      </c>
      <c r="B26" s="13">
        <v>45527</v>
      </c>
      <c r="C26" s="12">
        <v>1931.36</v>
      </c>
      <c r="D26" s="12">
        <v>0</v>
      </c>
      <c r="E26" s="12">
        <v>181.46</v>
      </c>
    </row>
    <row r="27" spans="1:5">
      <c r="A27" s="12" t="s">
        <v>1163</v>
      </c>
      <c r="B27" s="13">
        <v>45530</v>
      </c>
      <c r="C27" s="12">
        <v>0</v>
      </c>
      <c r="D27" s="12">
        <v>19939.599999999999</v>
      </c>
      <c r="E27" s="12">
        <v>19939.599999999999</v>
      </c>
    </row>
    <row r="28" spans="1:5">
      <c r="A28" s="12" t="s">
        <v>1163</v>
      </c>
      <c r="B28" s="13">
        <v>45531</v>
      </c>
      <c r="C28" s="12">
        <v>0</v>
      </c>
      <c r="D28" s="12">
        <v>30713.1</v>
      </c>
      <c r="E28" s="12">
        <v>30713.1</v>
      </c>
    </row>
    <row r="29" spans="1:5">
      <c r="A29" s="12" t="s">
        <v>1163</v>
      </c>
      <c r="B29" s="13">
        <v>45532</v>
      </c>
      <c r="C29" s="12">
        <v>34486.660000000003</v>
      </c>
      <c r="D29" s="12">
        <v>0</v>
      </c>
      <c r="E29" s="12">
        <v>288.44</v>
      </c>
    </row>
    <row r="30" spans="1:5">
      <c r="A30" s="12" t="s">
        <v>1163</v>
      </c>
      <c r="B30" s="13">
        <v>45533</v>
      </c>
      <c r="C30" s="12">
        <v>0</v>
      </c>
      <c r="D30" s="12">
        <v>39615.5</v>
      </c>
      <c r="E30" s="12">
        <v>39615.5</v>
      </c>
    </row>
    <row r="31" spans="1:5">
      <c r="A31" s="12" t="s">
        <v>1163</v>
      </c>
      <c r="B31" s="13">
        <v>45534</v>
      </c>
      <c r="C31" s="12">
        <v>33066.92</v>
      </c>
      <c r="D31" s="12">
        <v>0</v>
      </c>
      <c r="E31" s="12">
        <v>392.58</v>
      </c>
    </row>
    <row r="32" spans="1:5">
      <c r="A32" s="12" t="s">
        <v>1163</v>
      </c>
      <c r="B32" s="13">
        <v>45537</v>
      </c>
      <c r="C32" s="12">
        <v>0</v>
      </c>
      <c r="D32" s="12">
        <v>45969.2</v>
      </c>
      <c r="E32" s="12">
        <v>45969.2</v>
      </c>
    </row>
    <row r="33" spans="1:5">
      <c r="A33" s="12" t="s">
        <v>1163</v>
      </c>
      <c r="B33" s="13">
        <v>45538</v>
      </c>
      <c r="C33" s="12">
        <v>24683.46</v>
      </c>
      <c r="D33" s="12">
        <v>0</v>
      </c>
      <c r="E33" s="12">
        <v>377.74</v>
      </c>
    </row>
    <row r="34" spans="1:5">
      <c r="A34" s="12" t="s">
        <v>1163</v>
      </c>
      <c r="B34" s="13">
        <v>45539</v>
      </c>
      <c r="C34" s="12">
        <v>82858.7</v>
      </c>
      <c r="D34" s="12">
        <v>0</v>
      </c>
      <c r="E34" s="12">
        <v>226.04</v>
      </c>
    </row>
    <row r="35" spans="1:5">
      <c r="A35" s="12" t="s">
        <v>1163</v>
      </c>
      <c r="B35" s="13">
        <v>45540</v>
      </c>
      <c r="C35" s="12">
        <v>0</v>
      </c>
      <c r="D35" s="12">
        <v>6131.37</v>
      </c>
      <c r="E35" s="12">
        <v>6131.37</v>
      </c>
    </row>
    <row r="36" spans="1:5">
      <c r="A36" s="12" t="s">
        <v>1163</v>
      </c>
      <c r="B36" s="13">
        <v>45541</v>
      </c>
      <c r="C36" s="12">
        <v>11656.97</v>
      </c>
      <c r="D36" s="12">
        <v>0</v>
      </c>
      <c r="E36" s="12">
        <v>173.4</v>
      </c>
    </row>
    <row r="37" spans="1:5">
      <c r="A37" s="12" t="s">
        <v>1163</v>
      </c>
      <c r="B37" s="13">
        <v>45544</v>
      </c>
      <c r="C37" s="12">
        <v>0</v>
      </c>
      <c r="D37" s="12">
        <v>103915.1</v>
      </c>
      <c r="E37" s="12">
        <v>304088.5</v>
      </c>
    </row>
    <row r="38" spans="1:5">
      <c r="A38" s="12" t="s">
        <v>1163</v>
      </c>
      <c r="B38" s="13">
        <v>45545</v>
      </c>
      <c r="C38" s="12">
        <v>0</v>
      </c>
      <c r="D38" s="12">
        <v>43411.28</v>
      </c>
      <c r="E38" s="12">
        <v>297499.78000000003</v>
      </c>
    </row>
    <row r="39" spans="1:5">
      <c r="A39" s="12" t="s">
        <v>1163</v>
      </c>
      <c r="B39" s="13">
        <v>45546</v>
      </c>
      <c r="C39" s="12">
        <v>206359.32</v>
      </c>
      <c r="D39" s="12">
        <v>0</v>
      </c>
      <c r="E39" s="12">
        <v>712.46</v>
      </c>
    </row>
    <row r="40" spans="1:5">
      <c r="A40" s="12" t="s">
        <v>1163</v>
      </c>
      <c r="B40" s="13">
        <v>45547</v>
      </c>
      <c r="C40" s="12">
        <v>41737.42</v>
      </c>
      <c r="D40" s="12">
        <v>0</v>
      </c>
      <c r="E40" s="12">
        <v>552.04</v>
      </c>
    </row>
    <row r="41" spans="1:5">
      <c r="A41" s="12" t="s">
        <v>1163</v>
      </c>
      <c r="B41" s="13">
        <v>45548</v>
      </c>
      <c r="C41" s="12">
        <v>70888.759999999995</v>
      </c>
      <c r="D41" s="12">
        <v>0</v>
      </c>
      <c r="E41" s="12">
        <v>60388.28</v>
      </c>
    </row>
    <row r="42" spans="1:5">
      <c r="A42" s="12" t="s">
        <v>1163</v>
      </c>
      <c r="B42" s="13">
        <v>45551</v>
      </c>
      <c r="C42" s="12">
        <v>46611.1</v>
      </c>
      <c r="D42" s="12">
        <v>0</v>
      </c>
      <c r="E42" s="12">
        <v>13777.18</v>
      </c>
    </row>
    <row r="43" spans="1:5">
      <c r="A43" s="12" t="s">
        <v>1163</v>
      </c>
      <c r="B43" s="13">
        <v>45552</v>
      </c>
      <c r="C43" s="12">
        <v>0</v>
      </c>
      <c r="D43" s="12">
        <v>7259.08</v>
      </c>
      <c r="E43" s="12">
        <v>20259.259999999998</v>
      </c>
    </row>
    <row r="44" spans="1:5">
      <c r="A44" s="12" t="s">
        <v>1163</v>
      </c>
      <c r="B44" s="13">
        <v>45553</v>
      </c>
      <c r="C44" s="12">
        <v>8023.23</v>
      </c>
      <c r="D44" s="12">
        <v>0</v>
      </c>
      <c r="E44" s="12">
        <v>12236.03</v>
      </c>
    </row>
    <row r="45" spans="1:5">
      <c r="A45" s="12" t="s">
        <v>1163</v>
      </c>
      <c r="B45" s="13">
        <v>45554</v>
      </c>
      <c r="C45" s="12">
        <v>10094.02</v>
      </c>
      <c r="D45" s="12">
        <v>0</v>
      </c>
      <c r="E45" s="12">
        <v>26.01</v>
      </c>
    </row>
    <row r="46" spans="1:5">
      <c r="A46" s="12" t="s">
        <v>1163</v>
      </c>
      <c r="B46" s="13">
        <v>45558</v>
      </c>
      <c r="C46" s="12">
        <v>0</v>
      </c>
      <c r="D46" s="12">
        <v>7543.37</v>
      </c>
      <c r="E46" s="12">
        <v>7543.37</v>
      </c>
    </row>
    <row r="47" spans="1:5">
      <c r="A47" s="12" t="s">
        <v>1163</v>
      </c>
      <c r="B47" s="13">
        <v>45559</v>
      </c>
      <c r="C47" s="12">
        <v>0</v>
      </c>
      <c r="D47" s="12">
        <v>7560.83</v>
      </c>
      <c r="E47" s="12">
        <v>7560.83</v>
      </c>
    </row>
    <row r="48" spans="1:5">
      <c r="A48" s="12" t="s">
        <v>1163</v>
      </c>
      <c r="B48" s="13">
        <v>45560</v>
      </c>
      <c r="C48" s="12">
        <v>7195.84</v>
      </c>
      <c r="D48" s="12">
        <v>0</v>
      </c>
      <c r="E48" s="12">
        <v>150.99</v>
      </c>
    </row>
    <row r="49" spans="1:5">
      <c r="A49" s="12" t="s">
        <v>1163</v>
      </c>
      <c r="B49" s="13">
        <v>45561</v>
      </c>
      <c r="C49" s="12">
        <v>0</v>
      </c>
      <c r="D49" s="12">
        <v>15269.85</v>
      </c>
      <c r="E49" s="12">
        <v>15269.85</v>
      </c>
    </row>
    <row r="50" spans="1:5">
      <c r="A50" s="12" t="s">
        <v>1163</v>
      </c>
      <c r="B50" s="13">
        <v>45562</v>
      </c>
      <c r="C50" s="12">
        <v>94912.14</v>
      </c>
      <c r="D50" s="12">
        <v>0</v>
      </c>
      <c r="E50" s="12">
        <v>402.71</v>
      </c>
    </row>
    <row r="51" spans="1:5">
      <c r="A51" s="12" t="s">
        <v>1163</v>
      </c>
      <c r="B51" s="13">
        <v>45568</v>
      </c>
      <c r="C51" s="12">
        <v>45388.88</v>
      </c>
      <c r="D51" s="12">
        <v>0</v>
      </c>
      <c r="E51" s="12">
        <v>82.83</v>
      </c>
    </row>
    <row r="52" spans="1:5">
      <c r="A52" s="12" t="s">
        <v>1163</v>
      </c>
      <c r="B52" s="13">
        <v>45569</v>
      </c>
      <c r="C52" s="12">
        <v>0</v>
      </c>
      <c r="D52" s="12">
        <v>20283.400000000001</v>
      </c>
      <c r="E52" s="12">
        <v>20283.400000000001</v>
      </c>
    </row>
    <row r="53" spans="1:5">
      <c r="A53" s="12" t="s">
        <v>1163</v>
      </c>
      <c r="B53" s="13">
        <v>45572</v>
      </c>
      <c r="C53" s="12">
        <v>0</v>
      </c>
      <c r="D53" s="12">
        <v>23354.77</v>
      </c>
      <c r="E53" s="12">
        <v>23354.77</v>
      </c>
    </row>
    <row r="54" spans="1:5">
      <c r="A54" s="12" t="s">
        <v>1163</v>
      </c>
      <c r="B54" s="13">
        <v>45573</v>
      </c>
      <c r="C54" s="12">
        <v>12185.34</v>
      </c>
      <c r="D54" s="12">
        <v>0</v>
      </c>
      <c r="E54" s="12">
        <v>72.430000000000007</v>
      </c>
    </row>
    <row r="55" spans="1:5">
      <c r="A55" s="12" t="s">
        <v>1163</v>
      </c>
      <c r="B55" s="13">
        <v>45574</v>
      </c>
      <c r="C55" s="12">
        <v>0</v>
      </c>
      <c r="D55" s="12">
        <v>8896.6299999999992</v>
      </c>
      <c r="E55" s="12">
        <v>8896.6299999999992</v>
      </c>
    </row>
    <row r="56" spans="1:5">
      <c r="A56" s="12" t="s">
        <v>1163</v>
      </c>
      <c r="B56" s="13">
        <v>45575</v>
      </c>
      <c r="C56" s="12">
        <v>0</v>
      </c>
      <c r="D56" s="12">
        <v>4730.1099999999997</v>
      </c>
      <c r="E56" s="12">
        <v>4730.1099999999997</v>
      </c>
    </row>
    <row r="57" spans="1:5">
      <c r="A57" s="12" t="s">
        <v>1163</v>
      </c>
      <c r="B57" s="13">
        <v>45576</v>
      </c>
      <c r="C57" s="12">
        <v>0</v>
      </c>
      <c r="D57" s="12">
        <v>9161.11</v>
      </c>
      <c r="E57" s="12">
        <v>9161.11</v>
      </c>
    </row>
    <row r="58" spans="1:5">
      <c r="A58" s="12" t="s">
        <v>1163</v>
      </c>
      <c r="B58" s="13">
        <v>45579</v>
      </c>
      <c r="C58" s="12">
        <v>43056.480000000003</v>
      </c>
      <c r="D58" s="12">
        <v>0</v>
      </c>
      <c r="E58" s="12">
        <v>165.63</v>
      </c>
    </row>
    <row r="59" spans="1:5">
      <c r="A59" s="12" t="s">
        <v>1163</v>
      </c>
      <c r="B59" s="13">
        <v>45580</v>
      </c>
      <c r="C59" s="12">
        <v>0</v>
      </c>
      <c r="D59" s="12">
        <v>3589.15</v>
      </c>
      <c r="E59" s="12">
        <v>3589.15</v>
      </c>
    </row>
    <row r="60" spans="1:5">
      <c r="A60" s="12" t="s">
        <v>1163</v>
      </c>
      <c r="B60" s="13">
        <v>45581</v>
      </c>
      <c r="C60" s="12">
        <v>4899.66</v>
      </c>
      <c r="D60" s="12">
        <v>0</v>
      </c>
      <c r="E60" s="12">
        <v>41.49</v>
      </c>
    </row>
    <row r="61" spans="1:5">
      <c r="A61" s="12" t="s">
        <v>1163</v>
      </c>
      <c r="B61" s="13">
        <v>45582</v>
      </c>
      <c r="C61" s="12">
        <v>1415.9</v>
      </c>
      <c r="D61" s="12">
        <v>0</v>
      </c>
      <c r="E61" s="12">
        <v>8.59</v>
      </c>
    </row>
    <row r="62" spans="1:5">
      <c r="A62" s="12" t="s">
        <v>1163</v>
      </c>
      <c r="B62" s="13">
        <v>45583</v>
      </c>
      <c r="C62" s="12">
        <v>6009.37</v>
      </c>
      <c r="D62" s="12">
        <v>0</v>
      </c>
      <c r="E62" s="12">
        <v>6.22</v>
      </c>
    </row>
    <row r="63" spans="1:5">
      <c r="A63" s="12" t="s">
        <v>1163</v>
      </c>
      <c r="B63" s="13">
        <v>45586</v>
      </c>
      <c r="C63" s="12">
        <v>61422.29</v>
      </c>
      <c r="D63" s="12">
        <v>0</v>
      </c>
      <c r="E63" s="12">
        <v>233.93</v>
      </c>
    </row>
    <row r="64" spans="1:5">
      <c r="A64" s="12" t="s">
        <v>1163</v>
      </c>
      <c r="B64" s="13">
        <v>45587</v>
      </c>
      <c r="C64" s="12">
        <v>5446.03</v>
      </c>
      <c r="D64" s="12">
        <v>0</v>
      </c>
      <c r="E64" s="12">
        <v>93.9</v>
      </c>
    </row>
    <row r="65" spans="1:5">
      <c r="A65" s="12" t="s">
        <v>1163</v>
      </c>
      <c r="B65" s="13">
        <v>45588</v>
      </c>
      <c r="C65" s="12">
        <v>4848.28</v>
      </c>
      <c r="D65" s="12">
        <v>0</v>
      </c>
      <c r="E65" s="12">
        <v>4.62</v>
      </c>
    </row>
    <row r="66" spans="1:5">
      <c r="A66" s="12" t="s">
        <v>1163</v>
      </c>
      <c r="B66" s="13">
        <v>45589</v>
      </c>
      <c r="C66" s="12">
        <v>0</v>
      </c>
      <c r="D66" s="12">
        <v>2399.67</v>
      </c>
      <c r="E66" s="12">
        <v>2399.67</v>
      </c>
    </row>
    <row r="67" spans="1:5">
      <c r="A67" s="12" t="s">
        <v>1163</v>
      </c>
      <c r="B67" s="13">
        <v>45590</v>
      </c>
      <c r="C67" s="12">
        <v>14069.22</v>
      </c>
      <c r="D67" s="12">
        <v>0</v>
      </c>
      <c r="E67" s="12">
        <v>119.45</v>
      </c>
    </row>
    <row r="68" spans="1:5">
      <c r="A68" s="12" t="s">
        <v>1163</v>
      </c>
      <c r="B68" s="13">
        <v>45593</v>
      </c>
      <c r="C68" s="12">
        <v>11730.21</v>
      </c>
      <c r="D68" s="12">
        <v>0</v>
      </c>
      <c r="E68" s="12">
        <v>111.24</v>
      </c>
    </row>
    <row r="69" spans="1:5">
      <c r="A69" s="12" t="s">
        <v>1163</v>
      </c>
      <c r="B69" s="13">
        <v>45594</v>
      </c>
      <c r="C69" s="12">
        <v>7591.04</v>
      </c>
      <c r="D69" s="12">
        <v>0</v>
      </c>
      <c r="E69" s="12">
        <v>76.2</v>
      </c>
    </row>
    <row r="70" spans="1:5">
      <c r="A70" s="12" t="s">
        <v>1163</v>
      </c>
      <c r="B70" s="13">
        <v>45595</v>
      </c>
      <c r="C70" s="12">
        <v>72350.789999999994</v>
      </c>
      <c r="D70" s="12">
        <v>0</v>
      </c>
      <c r="E70" s="12">
        <v>225.41</v>
      </c>
    </row>
    <row r="71" spans="1:5">
      <c r="A71" s="12" t="s">
        <v>1163</v>
      </c>
      <c r="B71" s="13">
        <v>45596</v>
      </c>
      <c r="C71" s="12">
        <v>0</v>
      </c>
      <c r="D71" s="12">
        <v>24496.87</v>
      </c>
      <c r="E71" s="12">
        <v>24496.87</v>
      </c>
    </row>
    <row r="72" spans="1:5">
      <c r="A72" s="12" t="s">
        <v>1163</v>
      </c>
      <c r="B72" s="13">
        <v>45600</v>
      </c>
      <c r="C72" s="12">
        <v>0</v>
      </c>
      <c r="D72" s="12">
        <v>5841.44</v>
      </c>
      <c r="E72" s="12">
        <v>5841.44</v>
      </c>
    </row>
    <row r="73" spans="1:5">
      <c r="A73" s="12" t="s">
        <v>1163</v>
      </c>
      <c r="B73" s="13">
        <v>45601</v>
      </c>
      <c r="C73" s="12">
        <v>11961.61</v>
      </c>
      <c r="D73" s="12">
        <v>0</v>
      </c>
      <c r="E73" s="12">
        <v>109.83</v>
      </c>
    </row>
    <row r="74" spans="1:5">
      <c r="A74" s="12" t="s">
        <v>1163</v>
      </c>
      <c r="B74" s="13">
        <v>45602</v>
      </c>
      <c r="C74" s="12">
        <v>1053.58</v>
      </c>
      <c r="D74" s="12">
        <v>0</v>
      </c>
      <c r="E74" s="12">
        <v>7.25</v>
      </c>
    </row>
    <row r="75" spans="1:5">
      <c r="A75" s="12" t="s">
        <v>1163</v>
      </c>
      <c r="B75" s="13">
        <v>45603</v>
      </c>
      <c r="C75" s="12">
        <v>2020.4</v>
      </c>
      <c r="D75" s="12">
        <v>0</v>
      </c>
      <c r="E75" s="12">
        <v>34.85</v>
      </c>
    </row>
    <row r="76" spans="1:5">
      <c r="A76" s="12" t="s">
        <v>1163</v>
      </c>
      <c r="B76" s="13">
        <v>45604</v>
      </c>
      <c r="C76" s="12">
        <v>0</v>
      </c>
      <c r="D76" s="12">
        <v>3961.62</v>
      </c>
      <c r="E76" s="12">
        <v>3961.62</v>
      </c>
    </row>
    <row r="77" spans="1:5">
      <c r="A77" s="12" t="s">
        <v>1163</v>
      </c>
      <c r="B77" s="13">
        <v>45607</v>
      </c>
      <c r="C77" s="12">
        <v>0</v>
      </c>
      <c r="D77" s="12">
        <v>30561.95</v>
      </c>
      <c r="E77" s="12">
        <v>30561.95</v>
      </c>
    </row>
    <row r="78" spans="1:5">
      <c r="A78" s="12" t="s">
        <v>1163</v>
      </c>
      <c r="B78" s="13">
        <v>45608</v>
      </c>
      <c r="C78" s="12">
        <v>190267.85</v>
      </c>
      <c r="D78" s="12">
        <v>0</v>
      </c>
      <c r="E78" s="12">
        <v>391.1</v>
      </c>
    </row>
    <row r="79" spans="1:5">
      <c r="A79" s="12" t="s">
        <v>1163</v>
      </c>
      <c r="B79" s="13">
        <v>45609</v>
      </c>
      <c r="C79" s="12">
        <v>30098.63</v>
      </c>
      <c r="D79" s="12">
        <v>0</v>
      </c>
      <c r="E79" s="12">
        <v>92.47</v>
      </c>
    </row>
    <row r="80" spans="1:5">
      <c r="A80" s="12" t="s">
        <v>1163</v>
      </c>
      <c r="B80" s="13">
        <v>45610</v>
      </c>
      <c r="C80" s="12">
        <v>1639.21</v>
      </c>
      <c r="D80" s="12">
        <v>0</v>
      </c>
      <c r="E80" s="12">
        <v>9.26</v>
      </c>
    </row>
    <row r="81" spans="1:5">
      <c r="A81" s="12" t="s">
        <v>1163</v>
      </c>
      <c r="B81" s="13">
        <v>45614</v>
      </c>
      <c r="C81" s="12">
        <v>0</v>
      </c>
      <c r="D81" s="12">
        <v>5551.07</v>
      </c>
      <c r="E81" s="12">
        <v>5560.33</v>
      </c>
    </row>
    <row r="82" spans="1:5">
      <c r="A82" s="12" t="s">
        <v>1163</v>
      </c>
      <c r="B82" s="13">
        <v>45615</v>
      </c>
      <c r="C82" s="12">
        <v>11165.07</v>
      </c>
      <c r="D82" s="12">
        <v>0</v>
      </c>
      <c r="E82" s="12">
        <v>28.26</v>
      </c>
    </row>
    <row r="83" spans="1:5">
      <c r="A83" s="12" t="s">
        <v>1163</v>
      </c>
      <c r="B83" s="13">
        <v>45617</v>
      </c>
      <c r="C83" s="12">
        <v>0</v>
      </c>
      <c r="D83" s="12">
        <v>6530.43</v>
      </c>
      <c r="E83" s="12">
        <v>6558.69</v>
      </c>
    </row>
    <row r="84" spans="1:5">
      <c r="A84" s="12" t="s">
        <v>1163</v>
      </c>
      <c r="B84" s="13">
        <v>45618</v>
      </c>
      <c r="C84" s="12">
        <v>0</v>
      </c>
      <c r="D84" s="12">
        <v>38186.61</v>
      </c>
      <c r="E84" s="12">
        <v>38186.61</v>
      </c>
    </row>
    <row r="85" spans="1:5">
      <c r="A85" s="12" t="s">
        <v>1163</v>
      </c>
      <c r="B85" s="13">
        <v>45621</v>
      </c>
      <c r="C85" s="12">
        <v>3821.96</v>
      </c>
      <c r="D85" s="12">
        <v>0</v>
      </c>
      <c r="E85" s="12">
        <v>156.65</v>
      </c>
    </row>
    <row r="86" spans="1:5">
      <c r="A86" s="12" t="s">
        <v>1163</v>
      </c>
      <c r="B86" s="13">
        <v>45622</v>
      </c>
      <c r="C86" s="12">
        <v>0</v>
      </c>
      <c r="D86" s="12">
        <v>21688.06</v>
      </c>
      <c r="E86" s="12">
        <v>21688.06</v>
      </c>
    </row>
    <row r="87" spans="1:5">
      <c r="A87" s="12" t="s">
        <v>1163</v>
      </c>
      <c r="B87" s="13">
        <v>45623</v>
      </c>
      <c r="C87" s="12">
        <v>47586.239999999998</v>
      </c>
      <c r="D87" s="12">
        <v>0</v>
      </c>
      <c r="E87" s="12">
        <v>208.82</v>
      </c>
    </row>
    <row r="88" spans="1:5">
      <c r="A88" s="12" t="s">
        <v>1163</v>
      </c>
      <c r="B88" s="13">
        <v>45624</v>
      </c>
      <c r="C88" s="12">
        <v>13372.49</v>
      </c>
      <c r="D88" s="12">
        <v>0</v>
      </c>
      <c r="E88" s="12">
        <v>37.33</v>
      </c>
    </row>
    <row r="89" spans="1:5">
      <c r="A89" s="12" t="s">
        <v>1163</v>
      </c>
      <c r="B89" s="13">
        <v>45628</v>
      </c>
      <c r="C89" s="12">
        <v>28291.57</v>
      </c>
      <c r="D89" s="12">
        <v>0</v>
      </c>
      <c r="E89" s="12">
        <v>203.43</v>
      </c>
    </row>
    <row r="90" spans="1:5">
      <c r="A90" s="12" t="s">
        <v>1163</v>
      </c>
      <c r="B90" s="13">
        <v>45630</v>
      </c>
      <c r="C90" s="12">
        <v>1654.36</v>
      </c>
      <c r="D90" s="12">
        <v>0</v>
      </c>
      <c r="E90" s="12">
        <v>10.07</v>
      </c>
    </row>
    <row r="91" spans="1:5">
      <c r="A91" s="12" t="s">
        <v>1163</v>
      </c>
      <c r="B91" s="13">
        <v>45635</v>
      </c>
      <c r="C91" s="12">
        <v>0</v>
      </c>
      <c r="D91" s="12">
        <v>3747.85</v>
      </c>
      <c r="E91" s="12">
        <v>3747.85</v>
      </c>
    </row>
    <row r="92" spans="1:5">
      <c r="A92" s="12" t="s">
        <v>1163</v>
      </c>
      <c r="B92" s="13">
        <v>45636</v>
      </c>
      <c r="C92" s="12">
        <v>0</v>
      </c>
      <c r="D92" s="12">
        <v>7762.61</v>
      </c>
      <c r="E92" s="12">
        <v>7762.61</v>
      </c>
    </row>
    <row r="93" spans="1:5">
      <c r="A93" s="12" t="s">
        <v>1163</v>
      </c>
      <c r="B93" s="13">
        <v>45637</v>
      </c>
      <c r="C93" s="12">
        <v>0</v>
      </c>
      <c r="D93" s="12">
        <v>8957.86</v>
      </c>
      <c r="E93" s="12">
        <v>8957.86</v>
      </c>
    </row>
    <row r="94" spans="1:5">
      <c r="A94" s="12" t="s">
        <v>1163</v>
      </c>
      <c r="B94" s="13">
        <v>45638</v>
      </c>
      <c r="C94" s="12">
        <v>21495.74</v>
      </c>
      <c r="D94" s="12">
        <v>0</v>
      </c>
      <c r="E94" s="12">
        <v>92.12</v>
      </c>
    </row>
    <row r="95" spans="1:5">
      <c r="A95" s="12" t="s">
        <v>1163</v>
      </c>
      <c r="B95" s="13">
        <v>45639</v>
      </c>
      <c r="C95" s="12">
        <v>0</v>
      </c>
      <c r="D95" s="12">
        <v>25452.11</v>
      </c>
      <c r="E95" s="12">
        <v>25452.11</v>
      </c>
    </row>
    <row r="96" spans="1:5">
      <c r="A96" s="12" t="s">
        <v>1163</v>
      </c>
      <c r="B96" s="13">
        <v>45642</v>
      </c>
      <c r="C96" s="12">
        <v>0</v>
      </c>
      <c r="D96" s="12">
        <v>8165.85</v>
      </c>
      <c r="E96" s="12">
        <v>8165.85</v>
      </c>
    </row>
    <row r="97" spans="1:5">
      <c r="A97" s="12" t="s">
        <v>1163</v>
      </c>
      <c r="B97" s="13">
        <v>45643</v>
      </c>
      <c r="C97" s="12">
        <v>39297.58</v>
      </c>
      <c r="D97" s="12">
        <v>0</v>
      </c>
      <c r="E97" s="12">
        <v>-7868.73</v>
      </c>
    </row>
    <row r="98" spans="1:5">
      <c r="A98" s="12" t="s">
        <v>1163</v>
      </c>
      <c r="B98" s="13">
        <v>45644</v>
      </c>
      <c r="C98" s="12">
        <v>0</v>
      </c>
      <c r="D98" s="12">
        <v>25617.97</v>
      </c>
      <c r="E98" s="12">
        <v>25617.97</v>
      </c>
    </row>
    <row r="99" spans="1:5">
      <c r="A99" s="12" t="s">
        <v>1163</v>
      </c>
      <c r="B99" s="13">
        <v>45645</v>
      </c>
      <c r="C99" s="12">
        <v>0</v>
      </c>
      <c r="D99" s="12">
        <v>22161.59</v>
      </c>
      <c r="E99" s="12">
        <v>22161.59</v>
      </c>
    </row>
    <row r="100" spans="1:5">
      <c r="A100" s="12" t="s">
        <v>1163</v>
      </c>
      <c r="B100" s="13">
        <v>45646</v>
      </c>
      <c r="C100" s="12">
        <v>59507.94</v>
      </c>
      <c r="D100" s="12">
        <v>0</v>
      </c>
      <c r="E100" s="12">
        <v>-2890.35</v>
      </c>
    </row>
    <row r="101" spans="1:5">
      <c r="A101" s="12" t="s">
        <v>1163</v>
      </c>
      <c r="B101" s="13">
        <v>45657</v>
      </c>
      <c r="C101" s="12">
        <v>0</v>
      </c>
      <c r="D101" s="12">
        <v>3137.97</v>
      </c>
      <c r="E101" s="12">
        <v>3137.97</v>
      </c>
    </row>
    <row r="102" spans="1:5">
      <c r="A102" s="12" t="s">
        <v>1163</v>
      </c>
      <c r="B102" s="13">
        <v>45670</v>
      </c>
      <c r="C102" s="12">
        <v>22.94</v>
      </c>
      <c r="D102" s="12">
        <v>0</v>
      </c>
      <c r="E102" s="12">
        <v>59.06</v>
      </c>
    </row>
    <row r="103" spans="1:5">
      <c r="A103" s="12" t="s">
        <v>1163</v>
      </c>
      <c r="B103" s="13">
        <v>45672</v>
      </c>
      <c r="C103" s="12">
        <v>0</v>
      </c>
      <c r="D103" s="12">
        <v>18512.560000000001</v>
      </c>
      <c r="E103" s="12">
        <v>18512.560000000001</v>
      </c>
    </row>
    <row r="104" spans="1:5">
      <c r="A104" s="12" t="s">
        <v>1163</v>
      </c>
      <c r="B104" s="13">
        <v>45673</v>
      </c>
      <c r="C104" s="12">
        <v>0</v>
      </c>
      <c r="D104" s="12">
        <v>3351.25</v>
      </c>
      <c r="E104" s="12">
        <v>3351.25</v>
      </c>
    </row>
    <row r="105" spans="1:5">
      <c r="A105" s="12" t="s">
        <v>1163</v>
      </c>
      <c r="B105" s="13">
        <v>45674</v>
      </c>
      <c r="C105" s="12">
        <v>67251.56</v>
      </c>
      <c r="D105" s="12">
        <v>0</v>
      </c>
      <c r="E105" s="12">
        <v>1876.69</v>
      </c>
    </row>
    <row r="106" spans="1:5">
      <c r="A106" s="12" t="s">
        <v>1163</v>
      </c>
      <c r="B106" s="13">
        <v>45677</v>
      </c>
      <c r="C106" s="12">
        <v>22755.94</v>
      </c>
      <c r="D106" s="12">
        <v>0</v>
      </c>
      <c r="E106" s="12">
        <v>1230.75</v>
      </c>
    </row>
    <row r="107" spans="1:5">
      <c r="A107" s="12" t="s">
        <v>1163</v>
      </c>
      <c r="B107" s="13">
        <v>45678</v>
      </c>
      <c r="C107" s="12">
        <v>39357.89</v>
      </c>
      <c r="D107" s="12">
        <v>0</v>
      </c>
      <c r="E107" s="12">
        <v>2096.86</v>
      </c>
    </row>
    <row r="108" spans="1:5">
      <c r="A108" s="12" t="s">
        <v>1163</v>
      </c>
      <c r="B108" s="13">
        <v>45679</v>
      </c>
      <c r="C108" s="12">
        <v>16796.39</v>
      </c>
      <c r="D108" s="12">
        <v>0</v>
      </c>
      <c r="E108" s="12">
        <v>1617.47</v>
      </c>
    </row>
    <row r="109" spans="1:5">
      <c r="A109" s="12" t="s">
        <v>1163</v>
      </c>
      <c r="B109" s="13">
        <v>45680</v>
      </c>
      <c r="C109" s="12">
        <v>0</v>
      </c>
      <c r="D109" s="12">
        <v>16567.61</v>
      </c>
      <c r="E109" s="12">
        <v>16567.61</v>
      </c>
    </row>
    <row r="110" spans="1:5">
      <c r="A110" s="12" t="s">
        <v>1163</v>
      </c>
      <c r="B110" s="13">
        <v>45681</v>
      </c>
      <c r="C110" s="12">
        <v>29220.13</v>
      </c>
      <c r="D110" s="12">
        <v>0</v>
      </c>
      <c r="E110" s="12">
        <v>1894.48</v>
      </c>
    </row>
    <row r="111" spans="1:5">
      <c r="A111" s="12" t="s">
        <v>1163</v>
      </c>
      <c r="B111" s="13">
        <v>45684</v>
      </c>
      <c r="C111" s="12">
        <v>0</v>
      </c>
      <c r="D111" s="12">
        <v>10931.86</v>
      </c>
      <c r="E111" s="12">
        <v>10931.86</v>
      </c>
    </row>
    <row r="112" spans="1:5">
      <c r="A112" s="12" t="s">
        <v>1163</v>
      </c>
      <c r="B112" s="13">
        <v>45685</v>
      </c>
      <c r="C112" s="12">
        <v>12709.44</v>
      </c>
      <c r="D112" s="12">
        <v>0</v>
      </c>
      <c r="E112" s="12">
        <v>1873.42</v>
      </c>
    </row>
    <row r="113" spans="1:5">
      <c r="A113" s="12" t="s">
        <v>1163</v>
      </c>
      <c r="B113" s="13">
        <v>45686</v>
      </c>
      <c r="C113" s="12">
        <v>66090.91</v>
      </c>
      <c r="D113" s="12">
        <v>0</v>
      </c>
      <c r="E113" s="12">
        <v>3385.51</v>
      </c>
    </row>
    <row r="114" spans="1:5">
      <c r="A114" s="12" t="s">
        <v>1163</v>
      </c>
      <c r="B114" s="13">
        <v>45687</v>
      </c>
      <c r="C114" s="12">
        <v>0</v>
      </c>
      <c r="D114" s="12">
        <v>7344.92</v>
      </c>
      <c r="E114" s="12">
        <v>7344.92</v>
      </c>
    </row>
    <row r="115" spans="1:5">
      <c r="A115" s="12" t="s">
        <v>1163</v>
      </c>
      <c r="B115" s="13">
        <v>45689</v>
      </c>
      <c r="C115" s="12">
        <v>0</v>
      </c>
      <c r="D115" s="12">
        <v>11927.52</v>
      </c>
      <c r="E115" s="12">
        <v>86927.52</v>
      </c>
    </row>
    <row r="116" spans="1:5">
      <c r="A116" s="12" t="s">
        <v>1163</v>
      </c>
      <c r="B116" s="13">
        <v>45691</v>
      </c>
      <c r="C116" s="12">
        <v>0</v>
      </c>
      <c r="D116" s="12">
        <v>7040.97</v>
      </c>
      <c r="E116" s="12">
        <v>7040.97</v>
      </c>
    </row>
    <row r="117" spans="1:5">
      <c r="A117" s="12" t="s">
        <v>1163</v>
      </c>
      <c r="B117" s="13">
        <v>45692</v>
      </c>
      <c r="C117" s="12">
        <v>53189.77</v>
      </c>
      <c r="D117" s="12">
        <v>0</v>
      </c>
      <c r="E117" s="12">
        <v>3676.2</v>
      </c>
    </row>
    <row r="118" spans="1:5">
      <c r="A118" s="12" t="s">
        <v>1163</v>
      </c>
      <c r="B118" s="13">
        <v>45693</v>
      </c>
      <c r="C118" s="12">
        <v>15733.9</v>
      </c>
      <c r="D118" s="12">
        <v>0</v>
      </c>
      <c r="E118" s="12">
        <v>3432.3</v>
      </c>
    </row>
    <row r="119" spans="1:5">
      <c r="A119" s="12" t="s">
        <v>1163</v>
      </c>
      <c r="B119" s="13">
        <v>45694</v>
      </c>
      <c r="C119" s="12">
        <v>0</v>
      </c>
      <c r="D119" s="12">
        <v>374.06</v>
      </c>
      <c r="E119" s="12">
        <v>374.06</v>
      </c>
    </row>
    <row r="120" spans="1:5">
      <c r="A120" s="12" t="s">
        <v>1163</v>
      </c>
      <c r="B120" s="13">
        <v>45695</v>
      </c>
      <c r="C120" s="12">
        <v>0</v>
      </c>
      <c r="D120" s="12">
        <v>1055.42</v>
      </c>
      <c r="E120" s="12">
        <v>1055.42</v>
      </c>
    </row>
    <row r="121" spans="1:5">
      <c r="A121" s="12" t="s">
        <v>1163</v>
      </c>
      <c r="B121" s="13">
        <v>45698</v>
      </c>
      <c r="C121" s="12">
        <v>3111.1</v>
      </c>
      <c r="D121" s="12">
        <v>0</v>
      </c>
      <c r="E121" s="12">
        <v>11944.32</v>
      </c>
    </row>
    <row r="122" spans="1:5">
      <c r="A122" s="12" t="s">
        <v>1163</v>
      </c>
      <c r="B122" s="13">
        <v>45699</v>
      </c>
      <c r="C122" s="12">
        <v>0</v>
      </c>
      <c r="D122" s="12">
        <v>8379.86</v>
      </c>
      <c r="E122" s="12">
        <v>20324.18</v>
      </c>
    </row>
    <row r="123" spans="1:5">
      <c r="A123" s="12" t="s">
        <v>1163</v>
      </c>
      <c r="B123" s="13">
        <v>45700</v>
      </c>
      <c r="C123" s="12">
        <v>8318.68</v>
      </c>
      <c r="D123" s="12">
        <v>0</v>
      </c>
      <c r="E123" s="12">
        <v>7005.5</v>
      </c>
    </row>
    <row r="124" spans="1:5">
      <c r="A124" s="12" t="s">
        <v>1163</v>
      </c>
      <c r="B124" s="13">
        <v>45701</v>
      </c>
      <c r="C124" s="12">
        <v>0</v>
      </c>
      <c r="D124" s="12">
        <v>8714.23</v>
      </c>
      <c r="E124" s="12">
        <v>26039.73</v>
      </c>
    </row>
    <row r="125" spans="1:5">
      <c r="A125" s="12" t="s">
        <v>1163</v>
      </c>
      <c r="B125" s="13">
        <v>45702</v>
      </c>
      <c r="C125" s="12">
        <v>0</v>
      </c>
      <c r="D125" s="12">
        <v>180.31</v>
      </c>
      <c r="E125" s="12">
        <v>11806.04</v>
      </c>
    </row>
    <row r="126" spans="1:5">
      <c r="A126" s="12" t="s">
        <v>1163</v>
      </c>
      <c r="B126" s="13">
        <v>45705</v>
      </c>
      <c r="C126" s="12">
        <v>0</v>
      </c>
      <c r="D126" s="12">
        <v>5416.37</v>
      </c>
      <c r="E126" s="12">
        <v>26222.41</v>
      </c>
    </row>
    <row r="127" spans="1:5">
      <c r="A127" s="12" t="s">
        <v>1163</v>
      </c>
      <c r="B127" s="13">
        <v>45706</v>
      </c>
      <c r="C127" s="12">
        <v>0</v>
      </c>
      <c r="D127" s="12">
        <v>7486.19</v>
      </c>
      <c r="E127" s="12">
        <v>33708.6</v>
      </c>
    </row>
    <row r="128" spans="1:5">
      <c r="A128" s="12" t="s">
        <v>1163</v>
      </c>
      <c r="B128" s="13">
        <v>45707</v>
      </c>
      <c r="C128" s="12">
        <v>0</v>
      </c>
      <c r="D128" s="12">
        <v>1962.75</v>
      </c>
      <c r="E128" s="12">
        <v>35671.35</v>
      </c>
    </row>
    <row r="129" spans="1:5">
      <c r="A129" s="12" t="s">
        <v>1163</v>
      </c>
      <c r="B129" s="13">
        <v>45708</v>
      </c>
      <c r="C129" s="12">
        <v>8729.19</v>
      </c>
      <c r="D129" s="12">
        <v>0</v>
      </c>
      <c r="E129" s="12">
        <v>26942.16</v>
      </c>
    </row>
    <row r="130" spans="1:5">
      <c r="A130" s="12" t="s">
        <v>1163</v>
      </c>
      <c r="B130" s="13">
        <v>45709</v>
      </c>
      <c r="C130" s="12">
        <v>6108.59</v>
      </c>
      <c r="D130" s="12">
        <v>0</v>
      </c>
      <c r="E130" s="12">
        <v>20833.57</v>
      </c>
    </row>
    <row r="131" spans="1:5">
      <c r="A131" s="12" t="s">
        <v>1163</v>
      </c>
      <c r="B131" s="13">
        <v>45712</v>
      </c>
      <c r="C131" s="12">
        <v>2309.16</v>
      </c>
      <c r="D131" s="12">
        <v>0</v>
      </c>
      <c r="E131" s="12">
        <v>18524.41</v>
      </c>
    </row>
    <row r="132" spans="1:5">
      <c r="A132" s="12" t="s">
        <v>1163</v>
      </c>
      <c r="B132" s="13">
        <v>45713</v>
      </c>
      <c r="C132" s="12">
        <v>0</v>
      </c>
      <c r="D132" s="12">
        <v>4587.7</v>
      </c>
      <c r="E132" s="12">
        <v>23112.11</v>
      </c>
    </row>
    <row r="133" spans="1:5">
      <c r="A133" s="12" t="s">
        <v>1163</v>
      </c>
      <c r="B133" s="13">
        <v>45715</v>
      </c>
      <c r="C133" s="12">
        <v>7899.72</v>
      </c>
      <c r="D133" s="12">
        <v>0</v>
      </c>
      <c r="E133" s="12">
        <v>15212.39</v>
      </c>
    </row>
    <row r="134" spans="1:5">
      <c r="A134" s="12" t="s">
        <v>1163</v>
      </c>
      <c r="B134" s="13">
        <v>45716</v>
      </c>
      <c r="C134" s="12">
        <v>0</v>
      </c>
      <c r="D134" s="12">
        <v>673.63</v>
      </c>
      <c r="E134" s="12">
        <v>15886.02</v>
      </c>
    </row>
    <row r="135" spans="1:5">
      <c r="A135" s="12" t="s">
        <v>1163</v>
      </c>
      <c r="B135" s="13">
        <v>45719</v>
      </c>
      <c r="C135" s="12">
        <v>2888.32</v>
      </c>
      <c r="D135" s="12">
        <v>0</v>
      </c>
      <c r="E135" s="12">
        <v>12997.7</v>
      </c>
    </row>
    <row r="136" spans="1:5">
      <c r="A136" s="12" t="s">
        <v>1163</v>
      </c>
      <c r="B136" s="13">
        <v>45720</v>
      </c>
      <c r="C136" s="12">
        <v>10500.71</v>
      </c>
      <c r="D136" s="12">
        <v>0</v>
      </c>
      <c r="E136" s="12">
        <v>2496.9899999999998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KITE</vt:lpstr>
      <vt:lpstr>SHOONYA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2025-06-20T11:55:15Z</dcterms:created>
  <dcterms:modified xsi:type="dcterms:W3CDTF">2025-08-02T04:44:06Z</dcterms:modified>
</cp:coreProperties>
</file>